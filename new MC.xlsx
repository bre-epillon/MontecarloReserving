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entsreinsurance-my.sharepoint.com/personal/filippo_olivieri_barentsre_eu/Documents/Desktop/"/>
    </mc:Choice>
  </mc:AlternateContent>
  <xr:revisionPtr revIDLastSave="247" documentId="8_{F4E58DCD-ACCC-46B5-B577-0B3D30353D64}" xr6:coauthVersionLast="47" xr6:coauthVersionMax="47" xr10:uidLastSave="{BDBCFF95-09EB-4AC2-B601-8E2F684D8599}"/>
  <bookViews>
    <workbookView xWindow="-108" yWindow="-108" windowWidth="30936" windowHeight="16776" xr2:uid="{6E8975B8-B209-472F-9978-9A3B894338D8}"/>
  </bookViews>
  <sheets>
    <sheet name="EN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8" i="1"/>
  <c r="F39" i="1"/>
  <c r="F32" i="1"/>
  <c r="B40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C40" i="1"/>
  <c r="C32" i="1"/>
  <c r="B32" i="1"/>
  <c r="L5" i="1"/>
  <c r="L6" i="1"/>
  <c r="L7" i="1"/>
  <c r="L8" i="1"/>
  <c r="L9" i="1"/>
  <c r="L10" i="1"/>
  <c r="L11" i="1"/>
  <c r="L12" i="1"/>
  <c r="L4" i="1"/>
  <c r="J5" i="1"/>
  <c r="J6" i="1"/>
  <c r="J7" i="1"/>
  <c r="J8" i="1"/>
  <c r="J9" i="1"/>
  <c r="J10" i="1"/>
  <c r="J11" i="1"/>
  <c r="J12" i="1"/>
  <c r="J4" i="1"/>
  <c r="I5" i="1"/>
  <c r="I6" i="1"/>
  <c r="I7" i="1"/>
  <c r="I8" i="1"/>
  <c r="I9" i="1"/>
  <c r="I10" i="1"/>
  <c r="I11" i="1"/>
  <c r="I4" i="1"/>
  <c r="I12" i="1" s="1"/>
  <c r="K5" i="1"/>
  <c r="K6" i="1"/>
  <c r="K7" i="1"/>
  <c r="K8" i="1"/>
  <c r="K9" i="1"/>
  <c r="K10" i="1"/>
  <c r="K11" i="1"/>
  <c r="K4" i="1"/>
  <c r="K12" i="1" s="1"/>
  <c r="D33" i="1"/>
  <c r="D34" i="1"/>
  <c r="D35" i="1"/>
  <c r="D36" i="1"/>
  <c r="D37" i="1"/>
  <c r="D38" i="1"/>
  <c r="D39" i="1"/>
  <c r="D32" i="1"/>
  <c r="D40" i="1" s="1"/>
  <c r="J33" i="1"/>
  <c r="K33" i="1" s="1"/>
  <c r="J34" i="1"/>
  <c r="J35" i="1"/>
  <c r="J36" i="1"/>
  <c r="J37" i="1"/>
  <c r="J38" i="1"/>
  <c r="J39" i="1"/>
  <c r="J32" i="1"/>
  <c r="E40" i="1"/>
  <c r="E39" i="1"/>
  <c r="E38" i="1"/>
  <c r="E37" i="1"/>
  <c r="E36" i="1"/>
  <c r="E35" i="1"/>
  <c r="E34" i="1"/>
  <c r="E33" i="1"/>
  <c r="E32" i="1"/>
  <c r="L33" i="1" l="1"/>
  <c r="K34" i="1"/>
  <c r="L34" i="1"/>
  <c r="K35" i="1"/>
  <c r="L35" i="1"/>
  <c r="K36" i="1"/>
  <c r="L36" i="1"/>
  <c r="K37" i="1"/>
  <c r="L37" i="1"/>
  <c r="K38" i="1"/>
  <c r="L38" i="1"/>
  <c r="K39" i="1"/>
  <c r="L39" i="1"/>
  <c r="K32" i="1"/>
  <c r="L32" i="1"/>
  <c r="L40" i="1" s="1"/>
  <c r="K40" i="1"/>
  <c r="J40" i="1"/>
  <c r="G39" i="1"/>
  <c r="H39" i="1"/>
  <c r="G34" i="1"/>
  <c r="H34" i="1"/>
  <c r="G35" i="1"/>
  <c r="H35" i="1"/>
  <c r="G37" i="1"/>
  <c r="H37" i="1"/>
  <c r="G38" i="1"/>
  <c r="H38" i="1"/>
  <c r="G33" i="1" l="1"/>
  <c r="H33" i="1"/>
  <c r="G32" i="1"/>
  <c r="H32" i="1"/>
  <c r="G36" i="1"/>
  <c r="H36" i="1"/>
</calcChain>
</file>

<file path=xl/sharedStrings.xml><?xml version="1.0" encoding="utf-8"?>
<sst xmlns="http://schemas.openxmlformats.org/spreadsheetml/2006/main" count="52" uniqueCount="39">
  <si>
    <t>Gross</t>
  </si>
  <si>
    <t>UWY</t>
  </si>
  <si>
    <t>Premium Ultimate</t>
  </si>
  <si>
    <t>SIBNR</t>
  </si>
  <si>
    <t>ATTRITIONAL + LARGE</t>
  </si>
  <si>
    <t>&lt;=2019</t>
  </si>
  <si>
    <t>Total</t>
  </si>
  <si>
    <t>LOB</t>
  </si>
  <si>
    <t>Mean</t>
  </si>
  <si>
    <t>Standard 
Deviation</t>
  </si>
  <si>
    <t>Variance</t>
  </si>
  <si>
    <t>Std deviation</t>
  </si>
  <si>
    <t>IBNR Stat</t>
  </si>
  <si>
    <t>Statutory as at 06/2026</t>
  </si>
  <si>
    <t>Lob</t>
  </si>
  <si>
    <t>Earned %</t>
  </si>
  <si>
    <t>Case Reserves</t>
  </si>
  <si>
    <t>Total Incurred Claims</t>
  </si>
  <si>
    <t>input 3 - Earned percentage</t>
  </si>
  <si>
    <t>input 2 - variability</t>
  </si>
  <si>
    <t>input 1 - Ultimates</t>
  </si>
  <si>
    <t>ENUPS</t>
  </si>
  <si>
    <t>IBNR MBE</t>
  </si>
  <si>
    <t>Total Reserves Stat</t>
  </si>
  <si>
    <t>GULR Stat</t>
  </si>
  <si>
    <t>Total Reserves MBE</t>
  </si>
  <si>
    <t>GULR MBE</t>
  </si>
  <si>
    <t>Earned Stat reserves</t>
  </si>
  <si>
    <t>IBNR GULR Stat</t>
  </si>
  <si>
    <t>Earned MBE reserves</t>
  </si>
  <si>
    <t>IBNR GULR MBE</t>
  </si>
  <si>
    <t>for simulation</t>
  </si>
  <si>
    <t>Simulated IBNR MBE GULR</t>
  </si>
  <si>
    <t>Total Earned reserves MBE simulated</t>
  </si>
  <si>
    <t>output</t>
  </si>
  <si>
    <t>Ultimate IBNR MBE simulated</t>
  </si>
  <si>
    <t>Total Ultimate Reserves MBE simulated</t>
  </si>
  <si>
    <t>Std deviation floor</t>
  </si>
  <si>
    <t>Std deviation 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</si>
</sst>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,,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6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 indent="1"/>
    </xf>
    <xf numFmtId="164" fontId="3" fillId="0" borderId="6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 indent="1"/>
    </xf>
    <xf numFmtId="9" fontId="0" fillId="0" borderId="0" xfId="1" applyFont="1"/>
    <xf numFmtId="9" fontId="0" fillId="0" borderId="0" xfId="0" applyNumberFormat="1"/>
    <xf numFmtId="0" fontId="8" fillId="5" borderId="0" xfId="0" applyFont="1" applyFill="1" applyAlignment="1">
      <alignment horizontal="center" vertical="center" wrapText="1"/>
    </xf>
    <xf numFmtId="1" fontId="0" fillId="3" borderId="0" xfId="2" applyNumberFormat="1" applyFont="1" applyFill="1" applyBorder="1" applyAlignment="1"/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/>
    </xf>
    <xf numFmtId="165" fontId="0" fillId="3" borderId="15" xfId="1" applyNumberFormat="1" applyFont="1" applyFill="1" applyBorder="1" applyAlignment="1"/>
    <xf numFmtId="9" fontId="0" fillId="3" borderId="15" xfId="1" applyFont="1" applyFill="1" applyBorder="1" applyAlignment="1"/>
    <xf numFmtId="9" fontId="0" fillId="3" borderId="16" xfId="1" applyFont="1" applyFill="1" applyBorder="1" applyAlignment="1"/>
    <xf numFmtId="0" fontId="2" fillId="4" borderId="8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/>
    </xf>
    <xf numFmtId="9" fontId="0" fillId="3" borderId="12" xfId="1" applyFont="1" applyFill="1" applyBorder="1" applyAlignment="1"/>
    <xf numFmtId="0" fontId="0" fillId="3" borderId="17" xfId="0" applyFill="1" applyBorder="1" applyAlignment="1">
      <alignment horizontal="left"/>
    </xf>
    <xf numFmtId="1" fontId="0" fillId="3" borderId="18" xfId="2" applyNumberFormat="1" applyFont="1" applyFill="1" applyBorder="1" applyAlignment="1"/>
    <xf numFmtId="9" fontId="0" fillId="3" borderId="19" xfId="1" applyFont="1" applyFill="1" applyBorder="1" applyAlignment="1"/>
    <xf numFmtId="164" fontId="3" fillId="0" borderId="0" xfId="0" applyNumberFormat="1" applyFont="1" applyAlignment="1">
      <alignment horizontal="right" vertical="center" indent="1"/>
    </xf>
    <xf numFmtId="0" fontId="9" fillId="0" borderId="0" xfId="0" applyFont="1"/>
    <xf numFmtId="164" fontId="4" fillId="0" borderId="0" xfId="0" applyNumberFormat="1" applyFont="1" applyAlignment="1">
      <alignment horizontal="right" vertical="center" indent="1"/>
    </xf>
    <xf numFmtId="0" fontId="5" fillId="2" borderId="20" xfId="0" applyFont="1" applyFill="1" applyBorder="1" applyAlignment="1">
      <alignment horizontal="centerContinuous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right" vertical="center" indent="1"/>
    </xf>
    <xf numFmtId="164" fontId="3" fillId="0" borderId="23" xfId="0" applyNumberFormat="1" applyFont="1" applyBorder="1" applyAlignment="1">
      <alignment horizontal="right" vertical="center" indent="1"/>
    </xf>
    <xf numFmtId="164" fontId="4" fillId="0" borderId="24" xfId="0" applyNumberFormat="1" applyFont="1" applyBorder="1" applyAlignment="1">
      <alignment horizontal="right" vertical="center" indent="1"/>
    </xf>
    <xf numFmtId="164" fontId="4" fillId="0" borderId="25" xfId="0" applyNumberFormat="1" applyFont="1" applyBorder="1" applyAlignment="1">
      <alignment horizontal="right" vertical="center" inden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right" vertical="center" indent="1"/>
    </xf>
    <xf numFmtId="164" fontId="4" fillId="0" borderId="28" xfId="0" applyNumberFormat="1" applyFont="1" applyBorder="1" applyAlignment="1">
      <alignment horizontal="right" vertical="center" indent="1"/>
    </xf>
    <xf numFmtId="164" fontId="4" fillId="0" borderId="29" xfId="0" applyNumberFormat="1" applyFont="1" applyBorder="1" applyAlignment="1">
      <alignment horizontal="right" vertical="center" indent="1"/>
    </xf>
    <xf numFmtId="0" fontId="7" fillId="4" borderId="30" xfId="0" applyFont="1" applyFill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right" vertical="center" indent="1"/>
    </xf>
    <xf numFmtId="9" fontId="4" fillId="0" borderId="12" xfId="1" applyFont="1" applyFill="1" applyBorder="1" applyAlignment="1">
      <alignment horizontal="right" vertical="center" indent="1"/>
    </xf>
    <xf numFmtId="9" fontId="4" fillId="0" borderId="29" xfId="1" applyFont="1" applyFill="1" applyBorder="1" applyAlignment="1">
      <alignment horizontal="right" vertical="center" indent="1"/>
    </xf>
    <xf numFmtId="0" fontId="5" fillId="2" borderId="2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right" vertical="center" indent="1"/>
    </xf>
    <xf numFmtId="9" fontId="4" fillId="0" borderId="16" xfId="1" applyFont="1" applyFill="1" applyBorder="1" applyAlignment="1">
      <alignment horizontal="right" vertical="center" indent="1"/>
    </xf>
    <xf numFmtId="9" fontId="0" fillId="6" borderId="0" xfId="0" applyNumberFormat="1" applyFill="1"/>
    <xf numFmtId="0" fontId="9" fillId="3" borderId="0" xfId="0" applyFont="1" applyFill="1" applyAlignment="1">
      <alignment horizontal="left"/>
    </xf>
    <xf numFmtId="0" fontId="7" fillId="4" borderId="3" xfId="0" applyFont="1" applyFill="1" applyBorder="1" applyAlignment="1">
      <alignment horizontal="center" vertical="center" textRotation="90" wrapText="1"/>
    </xf>
    <xf numFmtId="0" fontId="7" fillId="4" borderId="4" xfId="0" applyFont="1" applyFill="1" applyBorder="1" applyAlignment="1">
      <alignment horizontal="center" vertical="center" textRotation="90" wrapText="1"/>
    </xf>
    <xf numFmtId="0" fontId="7" fillId="4" borderId="7" xfId="0" applyFont="1" applyFill="1" applyBorder="1" applyAlignment="1">
      <alignment horizontal="center" vertical="center" textRotation="90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B511-448D-4B76-8B38-6038FD89EFB1}">
  <dimension ref="A1:L40"/>
  <sheetViews>
    <sheetView tabSelected="1" workbookViewId="0">
      <selection activeCell="H31" sqref="H31"/>
    </sheetView>
  </sheetViews>
  <sheetFormatPr defaultRowHeight="14.4" x14ac:dyDescent="0.3"/>
  <cols>
    <col min="2" max="2" width="9.21875" bestFit="1" customWidth="1"/>
    <col min="3" max="3" width="12.44140625" bestFit="1" customWidth="1"/>
    <col min="5" max="5" width="11.33203125" customWidth="1"/>
    <col min="7" max="7" width="10.33203125" customWidth="1"/>
    <col min="8" max="8" width="11" customWidth="1"/>
    <col min="10" max="11" width="10.77734375" customWidth="1"/>
    <col min="12" max="12" width="12.77734375" customWidth="1"/>
    <col min="13" max="13" width="12.77734375" bestFit="1" customWidth="1"/>
    <col min="14" max="14" width="12.44140625" bestFit="1" customWidth="1"/>
  </cols>
  <sheetData>
    <row r="1" spans="1:12" ht="15" thickBot="1" x14ac:dyDescent="0.35">
      <c r="A1" s="30" t="s">
        <v>20</v>
      </c>
    </row>
    <row r="2" spans="1:12" ht="15" thickBot="1" x14ac:dyDescent="0.35">
      <c r="A2" s="1"/>
      <c r="B2" s="2" t="s">
        <v>0</v>
      </c>
      <c r="C2" s="3" t="s">
        <v>13</v>
      </c>
      <c r="D2" s="32"/>
      <c r="E2" s="32"/>
      <c r="F2" s="32"/>
      <c r="G2" s="32"/>
      <c r="H2" s="32"/>
      <c r="I2" s="32"/>
      <c r="J2" s="32"/>
      <c r="K2" s="32"/>
      <c r="L2" s="48"/>
    </row>
    <row r="3" spans="1:12" ht="36.6" thickBot="1" x14ac:dyDescent="0.35">
      <c r="A3" s="4" t="s">
        <v>21</v>
      </c>
      <c r="B3" s="5" t="s">
        <v>1</v>
      </c>
      <c r="C3" s="5" t="s">
        <v>2</v>
      </c>
      <c r="D3" s="33" t="s">
        <v>16</v>
      </c>
      <c r="E3" s="34" t="s">
        <v>17</v>
      </c>
      <c r="F3" s="33" t="s">
        <v>3</v>
      </c>
      <c r="G3" s="39" t="s">
        <v>22</v>
      </c>
      <c r="H3" s="40" t="s">
        <v>12</v>
      </c>
      <c r="I3" s="44" t="s">
        <v>25</v>
      </c>
      <c r="J3" s="40" t="s">
        <v>26</v>
      </c>
      <c r="K3" s="44" t="s">
        <v>23</v>
      </c>
      <c r="L3" s="40" t="s">
        <v>24</v>
      </c>
    </row>
    <row r="4" spans="1:12" x14ac:dyDescent="0.3">
      <c r="A4" s="58" t="s">
        <v>4</v>
      </c>
      <c r="B4" s="6" t="s">
        <v>5</v>
      </c>
      <c r="C4" s="7">
        <v>57871717.239999995</v>
      </c>
      <c r="D4" s="35">
        <v>283922.00166099466</v>
      </c>
      <c r="E4" s="36">
        <v>18387363.978740264</v>
      </c>
      <c r="F4" s="35">
        <v>0</v>
      </c>
      <c r="G4" s="29">
        <v>8065.2586260459229</v>
      </c>
      <c r="H4" s="41">
        <v>9752.690773461014</v>
      </c>
      <c r="I4" s="45">
        <f>+D4+F4+G4</f>
        <v>291987.26028704061</v>
      </c>
      <c r="J4" s="46">
        <f>+(E4+F4+G4)/C4</f>
        <v>0.31786561924676549</v>
      </c>
      <c r="K4" s="45">
        <f t="shared" ref="K4:K11" si="0">+D4+F4+H4</f>
        <v>293674.69243445568</v>
      </c>
      <c r="L4" s="46">
        <f>+(E4+F4+H4)/C4</f>
        <v>0.3178947773956487</v>
      </c>
    </row>
    <row r="5" spans="1:12" x14ac:dyDescent="0.3">
      <c r="A5" s="59"/>
      <c r="B5" s="6">
        <v>2020</v>
      </c>
      <c r="C5" s="7">
        <v>29757692.529999994</v>
      </c>
      <c r="D5" s="35">
        <v>163407.41452592189</v>
      </c>
      <c r="E5" s="36">
        <v>1735608.3913557418</v>
      </c>
      <c r="F5" s="35">
        <v>1235000</v>
      </c>
      <c r="G5" s="29">
        <v>43372.969500587511</v>
      </c>
      <c r="H5" s="41">
        <v>52447.562946089078</v>
      </c>
      <c r="I5" s="45">
        <f t="shared" ref="I5:I11" si="1">+D5+F5+G5</f>
        <v>1441780.3840265095</v>
      </c>
      <c r="J5" s="46">
        <f t="shared" ref="J5:J12" si="2">+(E5+F5+G5)/C5</f>
        <v>0.10128410856513173</v>
      </c>
      <c r="K5" s="45">
        <f t="shared" si="0"/>
        <v>1450854.977472011</v>
      </c>
      <c r="L5" s="46">
        <f t="shared" ref="L5:L12" si="3">+(E5+F5+H5)/C5</f>
        <v>0.10158905806470578</v>
      </c>
    </row>
    <row r="6" spans="1:12" x14ac:dyDescent="0.3">
      <c r="A6" s="59"/>
      <c r="B6" s="6">
        <v>2021</v>
      </c>
      <c r="C6" s="7">
        <v>30837894.769999996</v>
      </c>
      <c r="D6" s="35">
        <v>1013052.4493230828</v>
      </c>
      <c r="E6" s="36">
        <v>17106091.568375863</v>
      </c>
      <c r="F6" s="35">
        <v>0</v>
      </c>
      <c r="G6" s="29">
        <v>67089.717001523328</v>
      </c>
      <c r="H6" s="41">
        <v>81126.383459288627</v>
      </c>
      <c r="I6" s="45">
        <f t="shared" si="1"/>
        <v>1080142.1663246062</v>
      </c>
      <c r="J6" s="46">
        <f t="shared" si="2"/>
        <v>0.55688565686669245</v>
      </c>
      <c r="K6" s="45">
        <f t="shared" si="0"/>
        <v>1094178.8327823714</v>
      </c>
      <c r="L6" s="46">
        <f t="shared" si="3"/>
        <v>0.55734083276512703</v>
      </c>
    </row>
    <row r="7" spans="1:12" x14ac:dyDescent="0.3">
      <c r="A7" s="59"/>
      <c r="B7" s="6">
        <v>2022</v>
      </c>
      <c r="C7" s="7">
        <v>24534757.476926316</v>
      </c>
      <c r="D7" s="35">
        <v>556347.08747903828</v>
      </c>
      <c r="E7" s="36">
        <v>1423093.2469154084</v>
      </c>
      <c r="F7" s="35">
        <v>0</v>
      </c>
      <c r="G7" s="29">
        <v>3871960.599560135</v>
      </c>
      <c r="H7" s="41">
        <v>4682061.1917626765</v>
      </c>
      <c r="I7" s="45">
        <f t="shared" si="1"/>
        <v>4428307.6870391732</v>
      </c>
      <c r="J7" s="46">
        <f t="shared" si="2"/>
        <v>0.21581847105907898</v>
      </c>
      <c r="K7" s="45">
        <f t="shared" si="0"/>
        <v>5238408.2792417146</v>
      </c>
      <c r="L7" s="46">
        <f t="shared" si="3"/>
        <v>0.24883695893141272</v>
      </c>
    </row>
    <row r="8" spans="1:12" x14ac:dyDescent="0.3">
      <c r="A8" s="59"/>
      <c r="B8" s="6">
        <v>2023</v>
      </c>
      <c r="C8" s="7">
        <v>22696899.707364652</v>
      </c>
      <c r="D8" s="35">
        <v>5484099.4422977045</v>
      </c>
      <c r="E8" s="36">
        <v>30451978.719811585</v>
      </c>
      <c r="F8" s="35">
        <v>0</v>
      </c>
      <c r="G8" s="29">
        <v>2705704.6381968632</v>
      </c>
      <c r="H8" s="41">
        <v>3271798.4486497529</v>
      </c>
      <c r="I8" s="45">
        <f t="shared" si="1"/>
        <v>8189804.0804945678</v>
      </c>
      <c r="J8" s="46">
        <f t="shared" si="2"/>
        <v>1.4608904205207154</v>
      </c>
      <c r="K8" s="45">
        <f t="shared" si="0"/>
        <v>8755897.8909474574</v>
      </c>
      <c r="L8" s="46">
        <f t="shared" si="3"/>
        <v>1.4858318802685946</v>
      </c>
    </row>
    <row r="9" spans="1:12" x14ac:dyDescent="0.3">
      <c r="A9" s="59"/>
      <c r="B9" s="6">
        <v>2024</v>
      </c>
      <c r="C9" s="7">
        <v>31596640.992098548</v>
      </c>
      <c r="D9" s="35">
        <v>1882530.6336029898</v>
      </c>
      <c r="E9" s="36">
        <v>2189925.5398650398</v>
      </c>
      <c r="F9" s="35">
        <v>0</v>
      </c>
      <c r="G9" s="29">
        <v>8868898.807369452</v>
      </c>
      <c r="H9" s="41">
        <v>10765383.899057582</v>
      </c>
      <c r="I9" s="45">
        <f t="shared" si="1"/>
        <v>10751429.440972442</v>
      </c>
      <c r="J9" s="46">
        <f t="shared" si="2"/>
        <v>0.35</v>
      </c>
      <c r="K9" s="45">
        <f t="shared" si="0"/>
        <v>12647914.532660572</v>
      </c>
      <c r="L9" s="46">
        <f t="shared" si="3"/>
        <v>0.41002173117586738</v>
      </c>
    </row>
    <row r="10" spans="1:12" x14ac:dyDescent="0.3">
      <c r="A10" s="59"/>
      <c r="B10" s="6">
        <v>2025</v>
      </c>
      <c r="C10" s="7">
        <v>23398456.644641306</v>
      </c>
      <c r="D10" s="35">
        <v>1009565.5292341976</v>
      </c>
      <c r="E10" s="36">
        <v>1094000.3520194276</v>
      </c>
      <c r="F10" s="35">
        <v>35000000</v>
      </c>
      <c r="G10" s="29">
        <v>11404866.636602417</v>
      </c>
      <c r="H10" s="41">
        <v>13998218.859851874</v>
      </c>
      <c r="I10" s="45">
        <f t="shared" si="1"/>
        <v>47414432.165836617</v>
      </c>
      <c r="J10" s="46">
        <f t="shared" si="2"/>
        <v>2.0299999999999998</v>
      </c>
      <c r="K10" s="45">
        <f t="shared" si="0"/>
        <v>50007784.389086075</v>
      </c>
      <c r="L10" s="46">
        <f t="shared" si="3"/>
        <v>2.1408343282052913</v>
      </c>
    </row>
    <row r="11" spans="1:12" ht="15" thickBot="1" x14ac:dyDescent="0.35">
      <c r="A11" s="59"/>
      <c r="B11" s="6">
        <v>2026</v>
      </c>
      <c r="C11" s="7">
        <v>21346503.22697309</v>
      </c>
      <c r="D11" s="35">
        <v>1</v>
      </c>
      <c r="E11" s="36">
        <v>1</v>
      </c>
      <c r="F11" s="35">
        <v>0</v>
      </c>
      <c r="G11" s="29">
        <v>11740575.774835201</v>
      </c>
      <c r="H11" s="41">
        <v>14574065.803231632</v>
      </c>
      <c r="I11" s="45">
        <f t="shared" si="1"/>
        <v>11740576.774835201</v>
      </c>
      <c r="J11" s="46">
        <f t="shared" si="2"/>
        <v>0.55000000000000004</v>
      </c>
      <c r="K11" s="45">
        <f t="shared" si="0"/>
        <v>14574066.803231632</v>
      </c>
      <c r="L11" s="46">
        <f t="shared" si="3"/>
        <v>0.68273790082940056</v>
      </c>
    </row>
    <row r="12" spans="1:12" ht="15" thickBot="1" x14ac:dyDescent="0.35">
      <c r="A12" s="60"/>
      <c r="B12" s="9" t="s">
        <v>6</v>
      </c>
      <c r="C12" s="10">
        <v>242040562.58800387</v>
      </c>
      <c r="D12" s="37">
        <v>10392925.558123929</v>
      </c>
      <c r="E12" s="38">
        <v>72388062.797083333</v>
      </c>
      <c r="F12" s="37">
        <v>36235000</v>
      </c>
      <c r="G12" s="42">
        <v>38710534.401692227</v>
      </c>
      <c r="H12" s="43">
        <v>47434854.839732356</v>
      </c>
      <c r="I12" s="37">
        <f>SUM(I4:I11)</f>
        <v>85338459.959816158</v>
      </c>
      <c r="J12" s="47">
        <f t="shared" si="2"/>
        <v>0.60871448828006391</v>
      </c>
      <c r="K12" s="37">
        <f>SUM(K4:K11)</f>
        <v>94062780.397856295</v>
      </c>
      <c r="L12" s="47">
        <f t="shared" si="3"/>
        <v>0.64475935755633673</v>
      </c>
    </row>
    <row r="14" spans="1:12" x14ac:dyDescent="0.3">
      <c r="A14" s="30" t="s">
        <v>19</v>
      </c>
    </row>
    <row r="15" spans="1:12" ht="28.8" x14ac:dyDescent="0.3">
      <c r="A15" s="15" t="s">
        <v>7</v>
      </c>
      <c r="B15" s="16" t="s">
        <v>8</v>
      </c>
      <c r="C15" s="17" t="s">
        <v>9</v>
      </c>
      <c r="D15" s="18" t="s">
        <v>10</v>
      </c>
    </row>
    <row r="16" spans="1:12" x14ac:dyDescent="0.3">
      <c r="A16" s="19" t="s">
        <v>21</v>
      </c>
      <c r="B16" s="20">
        <v>0.60871448828006391</v>
      </c>
      <c r="C16" s="21">
        <v>0.58721465294076303</v>
      </c>
      <c r="D16" s="22">
        <v>0.34482104862834073</v>
      </c>
    </row>
    <row r="18" spans="1:12" x14ac:dyDescent="0.3">
      <c r="A18" s="30" t="s">
        <v>18</v>
      </c>
    </row>
    <row r="19" spans="1:12" x14ac:dyDescent="0.3">
      <c r="A19" s="23" t="s">
        <v>14</v>
      </c>
      <c r="B19" s="16" t="s">
        <v>1</v>
      </c>
      <c r="C19" s="18" t="s">
        <v>15</v>
      </c>
    </row>
    <row r="20" spans="1:12" x14ac:dyDescent="0.3">
      <c r="A20" s="24" t="s">
        <v>21</v>
      </c>
      <c r="B20" s="14">
        <v>2019</v>
      </c>
      <c r="C20" s="25">
        <v>1</v>
      </c>
    </row>
    <row r="21" spans="1:12" x14ac:dyDescent="0.3">
      <c r="A21" s="24" t="s">
        <v>21</v>
      </c>
      <c r="B21" s="14">
        <v>2020</v>
      </c>
      <c r="C21" s="25">
        <v>0.9993856243072301</v>
      </c>
    </row>
    <row r="22" spans="1:12" x14ac:dyDescent="0.3">
      <c r="A22" s="24" t="s">
        <v>21</v>
      </c>
      <c r="B22" s="14">
        <v>2021</v>
      </c>
      <c r="C22" s="25">
        <v>1</v>
      </c>
    </row>
    <row r="23" spans="1:12" x14ac:dyDescent="0.3">
      <c r="A23" s="24" t="s">
        <v>21</v>
      </c>
      <c r="B23" s="14">
        <v>2022</v>
      </c>
      <c r="C23" s="25">
        <v>0.99963124955912741</v>
      </c>
    </row>
    <row r="24" spans="1:12" x14ac:dyDescent="0.3">
      <c r="A24" s="24" t="s">
        <v>21</v>
      </c>
      <c r="B24" s="14">
        <v>2023</v>
      </c>
      <c r="C24" s="25">
        <v>0.99924359320584788</v>
      </c>
    </row>
    <row r="25" spans="1:12" x14ac:dyDescent="0.3">
      <c r="A25" s="24" t="s">
        <v>21</v>
      </c>
      <c r="B25" s="14">
        <v>2024</v>
      </c>
      <c r="C25" s="25">
        <v>0.99873627958787758</v>
      </c>
    </row>
    <row r="26" spans="1:12" x14ac:dyDescent="0.3">
      <c r="A26" s="24" t="s">
        <v>21</v>
      </c>
      <c r="B26" s="14">
        <v>2025</v>
      </c>
      <c r="C26" s="25">
        <v>0.9125555386152493</v>
      </c>
    </row>
    <row r="27" spans="1:12" x14ac:dyDescent="0.3">
      <c r="A27" s="26" t="s">
        <v>21</v>
      </c>
      <c r="B27" s="27">
        <v>2026</v>
      </c>
      <c r="C27" s="28">
        <v>0.13625579343150188</v>
      </c>
    </row>
    <row r="29" spans="1:12" x14ac:dyDescent="0.3">
      <c r="F29" t="s">
        <v>31</v>
      </c>
    </row>
    <row r="30" spans="1:12" x14ac:dyDescent="0.3">
      <c r="A30" s="57" t="s">
        <v>34</v>
      </c>
      <c r="G30" s="56">
        <v>-1</v>
      </c>
      <c r="H30" s="56">
        <v>3</v>
      </c>
    </row>
    <row r="31" spans="1:12" ht="36.6" thickBot="1" x14ac:dyDescent="0.35">
      <c r="A31" s="33" t="s">
        <v>1</v>
      </c>
      <c r="B31" s="50" t="s">
        <v>29</v>
      </c>
      <c r="C31" s="51" t="s">
        <v>30</v>
      </c>
      <c r="D31" s="52" t="s">
        <v>27</v>
      </c>
      <c r="E31" s="51" t="s">
        <v>28</v>
      </c>
      <c r="F31" s="13" t="s">
        <v>11</v>
      </c>
      <c r="G31" s="13" t="s">
        <v>37</v>
      </c>
      <c r="H31" s="13" t="s">
        <v>38</v>
      </c>
      <c r="I31" s="13" t="s">
        <v>32</v>
      </c>
      <c r="J31" s="13" t="s">
        <v>35</v>
      </c>
      <c r="K31" s="13" t="s">
        <v>36</v>
      </c>
      <c r="L31" s="13" t="s">
        <v>33</v>
      </c>
    </row>
    <row r="32" spans="1:12" x14ac:dyDescent="0.3">
      <c r="A32" s="49" t="s">
        <v>5</v>
      </c>
      <c r="B32" s="29">
        <f>+D4+F4+G4*C20</f>
        <v>291987.26028704061</v>
      </c>
      <c r="C32" s="46">
        <f>+G4/C4</f>
        <v>1.3936442550336741E-4</v>
      </c>
      <c r="D32" s="29">
        <f t="shared" ref="D32:D39" si="4">+D4+F4+H4*C20</f>
        <v>293674.69243445568</v>
      </c>
      <c r="E32" s="46">
        <f t="shared" ref="E32:E40" si="5">+H4/C4</f>
        <v>1.6852257438664894E-4</v>
      </c>
      <c r="F32" s="11">
        <f>+C32*$C$16/$B$16</f>
        <v>1.3444206492518434E-4</v>
      </c>
      <c r="G32" s="11">
        <f t="shared" ref="G32:G39" si="6">+F32*(1+$G$30)</f>
        <v>0</v>
      </c>
      <c r="H32" s="11">
        <f t="shared" ref="H32:H39" si="7">+F32*(1+$H$30)</f>
        <v>5.3776825970073736E-4</v>
      </c>
      <c r="I32" s="12">
        <v>0.01</v>
      </c>
      <c r="J32" s="29">
        <f t="shared" ref="J32:J39" si="8">+C4*I32</f>
        <v>578717.17239999992</v>
      </c>
      <c r="K32" s="29">
        <f t="shared" ref="K32:K39" si="9">+J32+D4+F4</f>
        <v>862639.17406099453</v>
      </c>
      <c r="L32" s="8">
        <f t="shared" ref="L32:L39" si="10">+J32*C20+D4+F4</f>
        <v>862639.17406099453</v>
      </c>
    </row>
    <row r="33" spans="1:12" x14ac:dyDescent="0.3">
      <c r="A33" s="49">
        <v>2020</v>
      </c>
      <c r="B33" s="29">
        <f t="shared" ref="B33:B39" si="11">+D5+F5+G5*C21</f>
        <v>1441753.736728325</v>
      </c>
      <c r="C33" s="46">
        <f t="shared" ref="C33:C40" si="12">+G5/C5</f>
        <v>1.4575380620275372E-3</v>
      </c>
      <c r="D33" s="29">
        <f t="shared" si="4"/>
        <v>1450822.7549641919</v>
      </c>
      <c r="E33" s="46">
        <f t="shared" si="5"/>
        <v>1.7624875616015746E-3</v>
      </c>
      <c r="F33" s="11">
        <f t="shared" ref="F33:F39" si="13">+C33*$C$16/$B$16</f>
        <v>1.4060577228246726E-3</v>
      </c>
      <c r="G33" s="11">
        <f t="shared" si="6"/>
        <v>0</v>
      </c>
      <c r="H33" s="11">
        <f t="shared" si="7"/>
        <v>5.6242308912986903E-3</v>
      </c>
      <c r="I33" s="12">
        <v>0.01</v>
      </c>
      <c r="J33" s="29">
        <f t="shared" si="8"/>
        <v>297576.92529999994</v>
      </c>
      <c r="K33" s="29">
        <f t="shared" si="9"/>
        <v>1695984.3398259217</v>
      </c>
      <c r="L33" s="8">
        <f t="shared" si="10"/>
        <v>1695801.5157962884</v>
      </c>
    </row>
    <row r="34" spans="1:12" x14ac:dyDescent="0.3">
      <c r="A34" s="49">
        <v>2021</v>
      </c>
      <c r="B34" s="29">
        <f t="shared" si="11"/>
        <v>1080142.1663246062</v>
      </c>
      <c r="C34" s="46">
        <f t="shared" si="12"/>
        <v>2.1755608643813833E-3</v>
      </c>
      <c r="D34" s="29">
        <f t="shared" si="4"/>
        <v>1094178.8327823714</v>
      </c>
      <c r="E34" s="46">
        <f t="shared" si="5"/>
        <v>2.6307367628159474E-3</v>
      </c>
      <c r="F34" s="11">
        <f t="shared" si="13"/>
        <v>2.0987199130726862E-3</v>
      </c>
      <c r="G34" s="11">
        <f t="shared" si="6"/>
        <v>0</v>
      </c>
      <c r="H34" s="11">
        <f t="shared" si="7"/>
        <v>8.3948796522907449E-3</v>
      </c>
      <c r="I34" s="12">
        <v>0.01</v>
      </c>
      <c r="J34" s="29">
        <f t="shared" si="8"/>
        <v>308378.94769999996</v>
      </c>
      <c r="K34" s="29">
        <f t="shared" si="9"/>
        <v>1321431.3970230827</v>
      </c>
      <c r="L34" s="8">
        <f t="shared" si="10"/>
        <v>1321431.3970230827</v>
      </c>
    </row>
    <row r="35" spans="1:12" x14ac:dyDescent="0.3">
      <c r="A35" s="49">
        <v>2022</v>
      </c>
      <c r="B35" s="29">
        <f t="shared" si="11"/>
        <v>4426879.8998610443</v>
      </c>
      <c r="C35" s="46">
        <f t="shared" si="12"/>
        <v>0.15781531988655342</v>
      </c>
      <c r="D35" s="29">
        <f t="shared" si="4"/>
        <v>5236681.7671130598</v>
      </c>
      <c r="E35" s="46">
        <f t="shared" si="5"/>
        <v>0.1908338077588872</v>
      </c>
      <c r="F35" s="11">
        <f t="shared" si="13"/>
        <v>0.1522412725180293</v>
      </c>
      <c r="G35" s="11">
        <f t="shared" si="6"/>
        <v>0</v>
      </c>
      <c r="H35" s="11">
        <f t="shared" si="7"/>
        <v>0.60896509007211719</v>
      </c>
      <c r="I35" s="12">
        <v>0.15</v>
      </c>
      <c r="J35" s="29">
        <f t="shared" si="8"/>
        <v>3680213.6215389473</v>
      </c>
      <c r="K35" s="29">
        <f t="shared" si="9"/>
        <v>4236560.7090179855</v>
      </c>
      <c r="L35" s="8">
        <f t="shared" si="10"/>
        <v>4235203.6286225375</v>
      </c>
    </row>
    <row r="36" spans="1:12" x14ac:dyDescent="0.3">
      <c r="A36" s="49">
        <v>2023</v>
      </c>
      <c r="B36" s="29">
        <f t="shared" si="11"/>
        <v>8187757.4671232663</v>
      </c>
      <c r="C36" s="46">
        <f t="shared" si="12"/>
        <v>0.11921031828496474</v>
      </c>
      <c r="D36" s="29">
        <f t="shared" si="4"/>
        <v>8753423.0803718027</v>
      </c>
      <c r="E36" s="46">
        <f t="shared" si="5"/>
        <v>0.14415177803284407</v>
      </c>
      <c r="F36" s="11">
        <f t="shared" si="13"/>
        <v>0.11499980208530239</v>
      </c>
      <c r="G36" s="11">
        <f t="shared" si="6"/>
        <v>0</v>
      </c>
      <c r="H36" s="11">
        <f t="shared" si="7"/>
        <v>0.45999920834120955</v>
      </c>
      <c r="I36" s="12">
        <v>0.1</v>
      </c>
      <c r="J36" s="29">
        <f t="shared" si="8"/>
        <v>2269689.9707364654</v>
      </c>
      <c r="K36" s="29">
        <f t="shared" si="9"/>
        <v>7753789.4130341699</v>
      </c>
      <c r="L36" s="8">
        <f t="shared" si="10"/>
        <v>7752072.6041196864</v>
      </c>
    </row>
    <row r="37" spans="1:12" x14ac:dyDescent="0.3">
      <c r="A37" s="49">
        <v>2024</v>
      </c>
      <c r="B37" s="29">
        <f t="shared" si="11"/>
        <v>10740221.63251652</v>
      </c>
      <c r="C37" s="46">
        <f t="shared" si="12"/>
        <v>0.28069119149682148</v>
      </c>
      <c r="D37" s="29">
        <f t="shared" si="4"/>
        <v>12634310.097282998</v>
      </c>
      <c r="E37" s="46">
        <f t="shared" si="5"/>
        <v>0.34071292267268882</v>
      </c>
      <c r="F37" s="11">
        <f t="shared" si="13"/>
        <v>0.27077716034664245</v>
      </c>
      <c r="G37" s="11">
        <f t="shared" si="6"/>
        <v>0</v>
      </c>
      <c r="H37" s="11">
        <f t="shared" si="7"/>
        <v>1.0831086413865698</v>
      </c>
      <c r="I37" s="12">
        <v>0.3</v>
      </c>
      <c r="J37" s="29">
        <f t="shared" si="8"/>
        <v>9478992.2976295631</v>
      </c>
      <c r="K37" s="29">
        <f t="shared" si="9"/>
        <v>11361522.931232553</v>
      </c>
      <c r="L37" s="8">
        <f t="shared" si="10"/>
        <v>11349544.135179687</v>
      </c>
    </row>
    <row r="38" spans="1:12" x14ac:dyDescent="0.3">
      <c r="A38" s="49">
        <v>2025</v>
      </c>
      <c r="B38" s="29">
        <f t="shared" si="11"/>
        <v>46417139.745634004</v>
      </c>
      <c r="C38" s="46">
        <f t="shared" si="12"/>
        <v>0.48741961103722409</v>
      </c>
      <c r="D38" s="29">
        <f t="shared" si="4"/>
        <v>48783717.680540472</v>
      </c>
      <c r="E38" s="46">
        <f t="shared" si="5"/>
        <v>0.59825393924251558</v>
      </c>
      <c r="F38" s="11">
        <f t="shared" si="13"/>
        <v>0.47020391865563432</v>
      </c>
      <c r="G38" s="11">
        <f t="shared" si="6"/>
        <v>0</v>
      </c>
      <c r="H38" s="11">
        <f t="shared" si="7"/>
        <v>1.8808156746225373</v>
      </c>
      <c r="I38" s="12">
        <v>0.62</v>
      </c>
      <c r="J38" s="29">
        <f t="shared" si="8"/>
        <v>14507043.119677611</v>
      </c>
      <c r="K38" s="29">
        <f t="shared" si="9"/>
        <v>50516608.648911804</v>
      </c>
      <c r="L38" s="8">
        <f t="shared" si="10"/>
        <v>49248048.077026248</v>
      </c>
    </row>
    <row r="39" spans="1:12" x14ac:dyDescent="0.3">
      <c r="A39" s="49">
        <v>2026</v>
      </c>
      <c r="B39" s="29">
        <f t="shared" si="11"/>
        <v>1599722.4675428402</v>
      </c>
      <c r="C39" s="46">
        <f t="shared" si="12"/>
        <v>0.54999995315391992</v>
      </c>
      <c r="D39" s="29">
        <f t="shared" si="4"/>
        <v>1985801.8995422448</v>
      </c>
      <c r="E39" s="46">
        <f t="shared" si="5"/>
        <v>0.68273785398332043</v>
      </c>
      <c r="F39" s="11">
        <f t="shared" si="13"/>
        <v>0.53057391901623407</v>
      </c>
      <c r="G39" s="11">
        <f t="shared" si="6"/>
        <v>0</v>
      </c>
      <c r="H39" s="11">
        <f t="shared" si="7"/>
        <v>2.1222956760649363</v>
      </c>
      <c r="I39" s="12">
        <v>0.7</v>
      </c>
      <c r="J39" s="29">
        <f t="shared" si="8"/>
        <v>14942552.258881163</v>
      </c>
      <c r="K39" s="29">
        <f t="shared" si="9"/>
        <v>14942553.258881163</v>
      </c>
      <c r="L39" s="8">
        <f t="shared" si="10"/>
        <v>2036010.3139255336</v>
      </c>
    </row>
    <row r="40" spans="1:12" x14ac:dyDescent="0.3">
      <c r="A40" s="53" t="s">
        <v>6</v>
      </c>
      <c r="B40" s="54">
        <f>SUM(B32:B39)</f>
        <v>74185604.376017645</v>
      </c>
      <c r="C40" s="55">
        <f t="shared" si="12"/>
        <v>0.15993407876672494</v>
      </c>
      <c r="D40" s="54">
        <f>SUM(D32:D39)</f>
        <v>80232610.805031598</v>
      </c>
      <c r="E40" s="55">
        <f t="shared" si="5"/>
        <v>0.19597894804299776</v>
      </c>
      <c r="J40" s="31">
        <f>SUM(J32:J39)</f>
        <v>46063164.313863754</v>
      </c>
      <c r="K40" s="31">
        <f>SUM(K32:K39)</f>
        <v>92691089.871987686</v>
      </c>
      <c r="L40" s="31">
        <f>SUM(L32:L39)</f>
        <v>78500750.845754057</v>
      </c>
    </row>
  </sheetData>
  <mergeCells count="1">
    <mergeCell ref="A4:A12"/>
  </mergeCells>
  <pageMargins left="0.7" right="0.7" top="0.75" bottom="0.75" header="0.3" footer="0.3"/>
  <ignoredErrors>
    <ignoredError sqref="J12 C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Olivieri</dc:creator>
  <cp:lastModifiedBy>Filippo Olivieri</cp:lastModifiedBy>
  <dcterms:created xsi:type="dcterms:W3CDTF">2026-08-19T13:05:52Z</dcterms:created>
  <dcterms:modified xsi:type="dcterms:W3CDTF">2026-08-20T08:07:47Z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9c41b-0d73-428c-9d47-797e407a0e54_Enabled">
    <vt:lpwstr>true</vt:lpwstr>
  </property>
  <property fmtid="{D5CDD505-2E9C-101B-9397-08002B2CF9AE}" pid="3" name="MSIP_Label_5f89c41b-0d73-428c-9d47-797e407a0e54_SetDate">
    <vt:lpwstr>2026-08-19T13:11:34Z</vt:lpwstr>
  </property>
  <property fmtid="{D5CDD505-2E9C-101B-9397-08002B2CF9AE}" pid="4" name="MSIP_Label_5f89c41b-0d73-428c-9d47-797e407a0e54_Method">
    <vt:lpwstr>Standard</vt:lpwstr>
  </property>
  <property fmtid="{D5CDD505-2E9C-101B-9397-08002B2CF9AE}" pid="5" name="MSIP_Label_5f89c41b-0d73-428c-9d47-797e407a0e54_Name">
    <vt:lpwstr>General Files</vt:lpwstr>
  </property>
  <property fmtid="{D5CDD505-2E9C-101B-9397-08002B2CF9AE}" pid="6" name="MSIP_Label_5f89c41b-0d73-428c-9d47-797e407a0e54_SiteId">
    <vt:lpwstr>748419eb-b130-41c4-8448-db4bc848692c</vt:lpwstr>
  </property>
  <property fmtid="{D5CDD505-2E9C-101B-9397-08002B2CF9AE}" pid="7" name="MSIP_Label_5f89c41b-0d73-428c-9d47-797e407a0e54_ActionId">
    <vt:lpwstr>b2a7af0f-6416-4528-ae28-a9f0c6d09ae7</vt:lpwstr>
  </property>
  <property fmtid="{D5CDD505-2E9C-101B-9397-08002B2CF9AE}" pid="8" name="MSIP_Label_5f89c41b-0d73-428c-9d47-797e407a0e54_ContentBits">
    <vt:lpwstr>0</vt:lpwstr>
  </property>
  <property fmtid="{D5CDD505-2E9C-101B-9397-08002B2CF9AE}" pid="9" name="MSIP_Label_5f89c41b-0d73-428c-9d47-797e407a0e54_Tag">
    <vt:lpwstr>10, 3, 0, 1</vt:lpwstr>
  </property>
</Properties>
</file>