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barentsreinsurance.sharepoint.com/sites/ActuarialRisk/Shared Documents/General/Actuarial/Reserving/Reserve Calculation/2026/202606/02_ABE&amp;MBE_Proposals/"/>
    </mc:Choice>
  </mc:AlternateContent>
  <xr:revisionPtr revIDLastSave="68" documentId="11_F25DC773A252ABDACC1048CC415A68C45ADE58E8" xr6:coauthVersionLast="47" xr6:coauthVersionMax="47" xr10:uidLastSave="{1A214549-B3E1-4793-B0D3-6F0343CCBD0B}"/>
  <bookViews>
    <workbookView xWindow="-108" yWindow="-108" windowWidth="30936" windowHeight="16776" activeTab="1" xr2:uid="{00000000-000D-0000-FFFF-FFFF00000000}"/>
  </bookViews>
  <sheets>
    <sheet name="Params" sheetId="3" r:id="rId1"/>
    <sheet name="Inputs" sheetId="1" r:id="rId2"/>
    <sheet name="Output" sheetId="2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 a="1"/>
  <c r="A4" i="2" s="1"/>
  <c r="B4" i="2" a="1"/>
  <c r="B4" i="2"/>
  <c r="D4" i="2" s="1"/>
  <c r="G4" i="2" s="1"/>
  <c r="B5" i="2" a="1"/>
  <c r="F4" i="2" l="1"/>
  <c r="E4" i="2"/>
  <c r="C4" i="2"/>
  <c r="H4" i="2"/>
  <c r="I4" i="2"/>
  <c r="B5" i="2"/>
  <c r="E5" i="2" s="1"/>
  <c r="D5" i="2"/>
  <c r="G5" i="2" s="1"/>
  <c r="B6" i="2" a="1"/>
  <c r="C5" i="2" l="1"/>
  <c r="H5" i="2"/>
  <c r="I5" i="2"/>
  <c r="F5" i="2"/>
  <c r="B6" i="2"/>
  <c r="C6" i="2" s="1"/>
  <c r="B7" i="2" a="1"/>
  <c r="F6" i="2" l="1"/>
  <c r="E6" i="2"/>
  <c r="D6" i="2"/>
  <c r="G6" i="2" s="1"/>
  <c r="H6" i="2" s="1"/>
  <c r="B7" i="2"/>
  <c r="E7" i="2" s="1"/>
  <c r="B8" i="2" a="1"/>
  <c r="C7" i="2" l="1"/>
  <c r="D7" i="2"/>
  <c r="G7" i="2" s="1"/>
  <c r="I7" i="2" s="1"/>
  <c r="I6" i="2"/>
  <c r="F7" i="2"/>
  <c r="B8" i="2"/>
  <c r="C8" i="2" s="1"/>
  <c r="B9" i="2" a="1"/>
  <c r="F8" i="2" l="1"/>
  <c r="E8" i="2"/>
  <c r="D8" i="2"/>
  <c r="G8" i="2" s="1"/>
  <c r="H8" i="2" s="1"/>
  <c r="H7" i="2"/>
  <c r="B9" i="2"/>
  <c r="C9" i="2" s="1"/>
  <c r="B10" i="2" a="1"/>
  <c r="I8" i="2" l="1"/>
  <c r="E9" i="2"/>
  <c r="D9" i="2"/>
  <c r="G9" i="2" s="1"/>
  <c r="H9" i="2" s="1"/>
  <c r="F9" i="2"/>
  <c r="B10" i="2"/>
  <c r="F10" i="2" s="1"/>
  <c r="B11" i="2" a="1"/>
  <c r="E10" i="2" l="1"/>
  <c r="D10" i="2"/>
  <c r="G10" i="2" s="1"/>
  <c r="H10" i="2" s="1"/>
  <c r="C10" i="2"/>
  <c r="I9" i="2"/>
  <c r="B11" i="2"/>
  <c r="C11" i="2" s="1"/>
  <c r="B12" i="2" a="1"/>
  <c r="I10" i="2" l="1"/>
  <c r="F11" i="2"/>
  <c r="E11" i="2"/>
  <c r="D11" i="2"/>
  <c r="G11" i="2" s="1"/>
  <c r="H11" i="2" s="1"/>
  <c r="B12" i="2"/>
  <c r="E12" i="2" s="1"/>
  <c r="B13" i="2" a="1"/>
  <c r="D12" i="2" l="1"/>
  <c r="G12" i="2" s="1"/>
  <c r="I12" i="2" s="1"/>
  <c r="C12" i="2"/>
  <c r="I11" i="2"/>
  <c r="F12" i="2"/>
  <c r="B13" i="2"/>
  <c r="F13" i="2" s="1"/>
  <c r="B14" i="2" a="1"/>
  <c r="H12" i="2" l="1"/>
  <c r="E13" i="2"/>
  <c r="D13" i="2"/>
  <c r="G13" i="2" s="1"/>
  <c r="H13" i="2" s="1"/>
  <c r="C13" i="2"/>
  <c r="B14" i="2"/>
  <c r="D14" i="2" s="1"/>
  <c r="G14" i="2" s="1"/>
  <c r="C14" i="2"/>
  <c r="B15" i="2" a="1"/>
  <c r="F14" i="2" l="1"/>
  <c r="E14" i="2"/>
  <c r="I13" i="2"/>
  <c r="H14" i="2"/>
  <c r="I14" i="2"/>
  <c r="B15" i="2"/>
  <c r="C15" i="2" s="1"/>
  <c r="B16" i="2" a="1"/>
  <c r="F15" i="2" l="1"/>
  <c r="E15" i="2"/>
  <c r="D15" i="2"/>
  <c r="G15" i="2" s="1"/>
  <c r="H15" i="2" s="1"/>
  <c r="B16" i="2"/>
  <c r="F16" i="2" s="1"/>
  <c r="C16" i="2"/>
  <c r="D16" i="2"/>
  <c r="G16" i="2" s="1"/>
  <c r="E16" i="2"/>
  <c r="B17" i="2" a="1"/>
  <c r="I15" i="2" l="1"/>
  <c r="H16" i="2"/>
  <c r="I16" i="2"/>
  <c r="B17" i="2"/>
  <c r="E17" i="2" s="1"/>
  <c r="B18" i="2" a="1"/>
  <c r="D17" i="2" l="1"/>
  <c r="G17" i="2" s="1"/>
  <c r="H17" i="2" s="1"/>
  <c r="C17" i="2"/>
  <c r="F17" i="2"/>
  <c r="B18" i="2"/>
  <c r="C18" i="2" s="1"/>
  <c r="B19" i="2" a="1"/>
  <c r="I17" i="2" l="1"/>
  <c r="F18" i="2"/>
  <c r="D18" i="2"/>
  <c r="G18" i="2" s="1"/>
  <c r="E18" i="2"/>
  <c r="B19" i="2"/>
  <c r="C19" i="2"/>
  <c r="D19" i="2"/>
  <c r="G19" i="2" s="1"/>
  <c r="E19" i="2"/>
  <c r="F19" i="2"/>
  <c r="B20" i="2" a="1"/>
  <c r="H19" i="2" l="1"/>
  <c r="I19" i="2"/>
  <c r="I18" i="2"/>
  <c r="H18" i="2"/>
  <c r="B20" i="2"/>
  <c r="E20" i="2" s="1"/>
  <c r="C20" i="2"/>
  <c r="B21" i="2" a="1"/>
  <c r="D20" i="2" l="1"/>
  <c r="G20" i="2" s="1"/>
  <c r="I20" i="2" s="1"/>
  <c r="F20" i="2"/>
  <c r="B21" i="2"/>
  <c r="D21" i="2" s="1"/>
  <c r="G21" i="2" s="1"/>
  <c r="B22" i="2" a="1"/>
  <c r="C21" i="2" l="1"/>
  <c r="F21" i="2"/>
  <c r="E21" i="2"/>
  <c r="H20" i="2"/>
  <c r="H21" i="2"/>
  <c r="I21" i="2"/>
  <c r="B22" i="2"/>
  <c r="C22" i="2" s="1"/>
  <c r="B23" i="2" a="1"/>
  <c r="F22" i="2" l="1"/>
  <c r="E22" i="2"/>
  <c r="D22" i="2"/>
  <c r="G22" i="2" s="1"/>
  <c r="H22" i="2" s="1"/>
  <c r="B23" i="2"/>
  <c r="C23" i="2" s="1"/>
  <c r="B24" i="2" a="1"/>
  <c r="E23" i="2" l="1"/>
  <c r="D23" i="2"/>
  <c r="G23" i="2" s="1"/>
  <c r="H23" i="2" s="1"/>
  <c r="F23" i="2"/>
  <c r="I22" i="2"/>
  <c r="B24" i="2"/>
  <c r="F24" i="2" s="1"/>
  <c r="B25" i="2" a="1"/>
  <c r="I23" i="2" l="1"/>
  <c r="E24" i="2"/>
  <c r="D24" i="2"/>
  <c r="G24" i="2" s="1"/>
  <c r="H24" i="2" s="1"/>
  <c r="C24" i="2"/>
  <c r="B25" i="2"/>
  <c r="C25" i="2" s="1"/>
  <c r="F25" i="2"/>
  <c r="B26" i="2" a="1"/>
  <c r="E25" i="2" l="1"/>
  <c r="D25" i="2"/>
  <c r="G25" i="2" s="1"/>
  <c r="I25" i="2" s="1"/>
  <c r="I24" i="2"/>
  <c r="B26" i="2"/>
  <c r="E26" i="2" s="1"/>
  <c r="C26" i="2"/>
  <c r="D26" i="2"/>
  <c r="G26" i="2" s="1"/>
  <c r="B27" i="2" a="1"/>
  <c r="F26" i="2" l="1"/>
  <c r="H25" i="2"/>
  <c r="H26" i="2"/>
  <c r="I26" i="2"/>
  <c r="B27" i="2"/>
  <c r="D27" i="2" s="1"/>
  <c r="G27" i="2" s="1"/>
  <c r="B28" i="2" a="1"/>
  <c r="C27" i="2" l="1"/>
  <c r="F27" i="2"/>
  <c r="E27" i="2"/>
  <c r="H27" i="2"/>
  <c r="I27" i="2"/>
  <c r="B28" i="2"/>
  <c r="C28" i="2" s="1"/>
  <c r="B29" i="2" a="1"/>
  <c r="F28" i="2" l="1"/>
  <c r="E28" i="2"/>
  <c r="D28" i="2"/>
  <c r="G28" i="2" s="1"/>
  <c r="H28" i="2" s="1"/>
  <c r="B29" i="2"/>
  <c r="C29" i="2"/>
  <c r="D29" i="2"/>
  <c r="G29" i="2" s="1"/>
  <c r="E29" i="2"/>
  <c r="F29" i="2"/>
  <c r="B30" i="2" a="1"/>
  <c r="I28" i="2" l="1"/>
  <c r="H29" i="2"/>
  <c r="I29" i="2"/>
  <c r="B30" i="2"/>
  <c r="C30" i="2"/>
  <c r="D30" i="2"/>
  <c r="G30" i="2" s="1"/>
  <c r="E30" i="2"/>
  <c r="F30" i="2"/>
  <c r="B31" i="2" a="1"/>
  <c r="H30" i="2" l="1"/>
  <c r="I30" i="2"/>
  <c r="B31" i="2"/>
  <c r="C31" i="2" s="1"/>
  <c r="B32" i="2" a="1"/>
  <c r="E31" i="2" l="1"/>
  <c r="F31" i="2"/>
  <c r="D31" i="2"/>
  <c r="G31" i="2" s="1"/>
  <c r="H31" i="2" s="1"/>
  <c r="B32" i="2"/>
  <c r="C32" i="2" s="1"/>
  <c r="B33" i="2" a="1"/>
  <c r="F32" i="2" l="1"/>
  <c r="E32" i="2"/>
  <c r="D32" i="2"/>
  <c r="G32" i="2" s="1"/>
  <c r="H32" i="2" s="1"/>
  <c r="I31" i="2"/>
  <c r="B33" i="2"/>
  <c r="C33" i="2" s="1"/>
  <c r="B34" i="2" a="1"/>
  <c r="D33" i="2" l="1"/>
  <c r="G33" i="2" s="1"/>
  <c r="H33" i="2" s="1"/>
  <c r="F33" i="2"/>
  <c r="E33" i="2"/>
  <c r="I32" i="2"/>
  <c r="B34" i="2"/>
  <c r="C34" i="2" s="1"/>
  <c r="D34" i="2"/>
  <c r="G34" i="2" s="1"/>
  <c r="E34" i="2"/>
  <c r="F34" i="2"/>
  <c r="B35" i="2" a="1"/>
  <c r="I33" i="2" l="1"/>
  <c r="I34" i="2"/>
  <c r="H34" i="2"/>
  <c r="B35" i="2"/>
  <c r="C35" i="2" s="1"/>
  <c r="B36" i="2" a="1"/>
  <c r="F35" i="2" l="1"/>
  <c r="E35" i="2"/>
  <c r="D35" i="2"/>
  <c r="G35" i="2" s="1"/>
  <c r="H35" i="2" s="1"/>
  <c r="B36" i="2"/>
  <c r="F36" i="2" s="1"/>
  <c r="B37" i="2" a="1"/>
  <c r="C36" i="2" l="1"/>
  <c r="E36" i="2"/>
  <c r="D36" i="2"/>
  <c r="G36" i="2" s="1"/>
  <c r="H36" i="2" s="1"/>
  <c r="I35" i="2"/>
  <c r="B37" i="2"/>
  <c r="C37" i="2" s="1"/>
  <c r="B38" i="2" a="1"/>
  <c r="F37" i="2" l="1"/>
  <c r="E37" i="2"/>
  <c r="D37" i="2"/>
  <c r="G37" i="2" s="1"/>
  <c r="I37" i="2" s="1"/>
  <c r="I36" i="2"/>
  <c r="B38" i="2"/>
  <c r="C38" i="2"/>
  <c r="D38" i="2"/>
  <c r="G38" i="2" s="1"/>
  <c r="E38" i="2"/>
  <c r="F38" i="2"/>
  <c r="B39" i="2" a="1"/>
  <c r="H37" i="2" l="1"/>
  <c r="I38" i="2"/>
  <c r="H38" i="2"/>
  <c r="B39" i="2"/>
  <c r="C39" i="2" s="1"/>
  <c r="B40" i="2" a="1"/>
  <c r="E39" i="2" l="1"/>
  <c r="F39" i="2"/>
  <c r="D39" i="2"/>
  <c r="G39" i="2" s="1"/>
  <c r="I39" i="2" s="1"/>
  <c r="B40" i="2"/>
  <c r="C40" i="2" s="1"/>
  <c r="B41" i="2" a="1"/>
  <c r="H39" i="2" l="1"/>
  <c r="F40" i="2"/>
  <c r="E40" i="2"/>
  <c r="D40" i="2"/>
  <c r="G40" i="2" s="1"/>
  <c r="H40" i="2" s="1"/>
  <c r="B41" i="2"/>
  <c r="D41" i="2" s="1"/>
  <c r="G41" i="2" s="1"/>
  <c r="B42" i="2" a="1"/>
  <c r="C41" i="2" l="1"/>
  <c r="I40" i="2"/>
  <c r="H41" i="2"/>
  <c r="I41" i="2"/>
  <c r="F41" i="2"/>
  <c r="E41" i="2"/>
  <c r="B42" i="2"/>
  <c r="C42" i="2"/>
  <c r="D42" i="2"/>
  <c r="G42" i="2" s="1"/>
  <c r="E42" i="2"/>
  <c r="F42" i="2"/>
  <c r="B43" i="2" a="1"/>
  <c r="I42" i="2" l="1"/>
  <c r="H42" i="2"/>
  <c r="B43" i="2"/>
  <c r="C43" i="2"/>
  <c r="D43" i="2"/>
  <c r="G43" i="2" s="1"/>
  <c r="E43" i="2"/>
  <c r="F43" i="2"/>
  <c r="B44" i="2" a="1"/>
  <c r="I43" i="2" l="1"/>
  <c r="H43" i="2"/>
  <c r="B44" i="2"/>
  <c r="C44" i="2" s="1"/>
  <c r="B45" i="2" a="1"/>
  <c r="F44" i="2" l="1"/>
  <c r="E44" i="2"/>
  <c r="D44" i="2"/>
  <c r="G44" i="2" s="1"/>
  <c r="H44" i="2" s="1"/>
  <c r="B45" i="2"/>
  <c r="C45" i="2"/>
  <c r="D45" i="2"/>
  <c r="G45" i="2" s="1"/>
  <c r="E45" i="2"/>
  <c r="F45" i="2"/>
  <c r="B46" i="2" a="1"/>
  <c r="I44" i="2" l="1"/>
  <c r="H45" i="2"/>
  <c r="I45" i="2"/>
  <c r="B46" i="2"/>
  <c r="C46" i="2"/>
  <c r="D46" i="2"/>
  <c r="G46" i="2" s="1"/>
  <c r="E46" i="2"/>
  <c r="F46" i="2"/>
  <c r="B47" i="2" a="1"/>
  <c r="I46" i="2" l="1"/>
  <c r="H46" i="2"/>
  <c r="B47" i="2"/>
  <c r="C47" i="2" s="1"/>
  <c r="B48" i="2" a="1"/>
  <c r="F47" i="2" l="1"/>
  <c r="E47" i="2"/>
  <c r="D47" i="2"/>
  <c r="G47" i="2" s="1"/>
  <c r="I47" i="2" s="1"/>
  <c r="B48" i="2"/>
  <c r="C48" i="2" s="1"/>
  <c r="B49" i="2" a="1"/>
  <c r="F48" i="2" l="1"/>
  <c r="E48" i="2"/>
  <c r="D48" i="2"/>
  <c r="G48" i="2" s="1"/>
  <c r="H48" i="2" s="1"/>
  <c r="H47" i="2"/>
  <c r="B49" i="2"/>
  <c r="C49" i="2" s="1"/>
  <c r="D49" i="2"/>
  <c r="G49" i="2" s="1"/>
  <c r="E49" i="2"/>
  <c r="F49" i="2"/>
  <c r="B50" i="2" a="1"/>
  <c r="I48" i="2" l="1"/>
  <c r="H49" i="2"/>
  <c r="I49" i="2"/>
  <c r="B50" i="2"/>
  <c r="C50" i="2"/>
  <c r="D50" i="2"/>
  <c r="G50" i="2" s="1"/>
  <c r="E50" i="2"/>
  <c r="F50" i="2"/>
  <c r="B51" i="2" a="1"/>
  <c r="H50" i="2" l="1"/>
  <c r="I50" i="2"/>
  <c r="B51" i="2"/>
  <c r="C51" i="2" s="1"/>
  <c r="B52" i="2" a="1"/>
  <c r="F51" i="2" l="1"/>
  <c r="E51" i="2"/>
  <c r="D51" i="2"/>
  <c r="G51" i="2" s="1"/>
  <c r="H51" i="2" s="1"/>
  <c r="B52" i="2"/>
  <c r="C52" i="2" s="1"/>
  <c r="E52" i="2"/>
  <c r="F52" i="2"/>
  <c r="B53" i="2" a="1"/>
  <c r="D52" i="2" l="1"/>
  <c r="G52" i="2" s="1"/>
  <c r="I52" i="2" s="1"/>
  <c r="I51" i="2"/>
  <c r="B53" i="2"/>
  <c r="C53" i="2"/>
  <c r="D53" i="2"/>
  <c r="G53" i="2" s="1"/>
  <c r="E53" i="2"/>
  <c r="F53" i="2"/>
  <c r="B54" i="2" a="1"/>
  <c r="H52" i="2" l="1"/>
  <c r="H53" i="2"/>
  <c r="I53" i="2"/>
  <c r="B54" i="2"/>
  <c r="C54" i="2"/>
  <c r="D54" i="2"/>
  <c r="G54" i="2" s="1"/>
  <c r="E54" i="2"/>
  <c r="F54" i="2"/>
  <c r="B55" i="2" a="1"/>
  <c r="H54" i="2" l="1"/>
  <c r="I54" i="2"/>
  <c r="B55" i="2"/>
  <c r="C55" i="2"/>
  <c r="D55" i="2"/>
  <c r="G55" i="2" s="1"/>
  <c r="E55" i="2"/>
  <c r="F55" i="2"/>
  <c r="B56" i="2" a="1"/>
  <c r="H55" i="2" l="1"/>
  <c r="I55" i="2"/>
  <c r="B56" i="2"/>
  <c r="C56" i="2"/>
  <c r="D56" i="2"/>
  <c r="G56" i="2" s="1"/>
  <c r="E56" i="2"/>
  <c r="F56" i="2"/>
  <c r="B57" i="2" a="1"/>
  <c r="I56" i="2" l="1"/>
  <c r="H56" i="2"/>
  <c r="B57" i="2"/>
  <c r="C57" i="2" s="1"/>
  <c r="B58" i="2" a="1"/>
  <c r="F57" i="2" l="1"/>
  <c r="E57" i="2"/>
  <c r="D57" i="2"/>
  <c r="G57" i="2" s="1"/>
  <c r="H57" i="2" s="1"/>
  <c r="B58" i="2"/>
  <c r="D58" i="2" s="1"/>
  <c r="G58" i="2" s="1"/>
  <c r="C58" i="2"/>
  <c r="B59" i="2" a="1"/>
  <c r="E58" i="2" l="1"/>
  <c r="F58" i="2"/>
  <c r="I57" i="2"/>
  <c r="H58" i="2"/>
  <c r="I58" i="2"/>
  <c r="B59" i="2"/>
  <c r="C59" i="2"/>
  <c r="D59" i="2"/>
  <c r="G59" i="2" s="1"/>
  <c r="E59" i="2"/>
  <c r="F59" i="2"/>
  <c r="B60" i="2" a="1"/>
  <c r="H59" i="2" l="1"/>
  <c r="I59" i="2"/>
  <c r="B60" i="2"/>
  <c r="E60" i="2" s="1"/>
  <c r="B61" i="2" a="1"/>
  <c r="D60" i="2" l="1"/>
  <c r="G60" i="2" s="1"/>
  <c r="H60" i="2" s="1"/>
  <c r="C60" i="2"/>
  <c r="F60" i="2"/>
  <c r="B61" i="2"/>
  <c r="C61" i="2" s="1"/>
  <c r="B62" i="2" a="1"/>
  <c r="F61" i="2" l="1"/>
  <c r="E61" i="2"/>
  <c r="D61" i="2"/>
  <c r="G61" i="2" s="1"/>
  <c r="H61" i="2" s="1"/>
  <c r="I60" i="2"/>
  <c r="B62" i="2"/>
  <c r="C62" i="2"/>
  <c r="D62" i="2"/>
  <c r="G62" i="2" s="1"/>
  <c r="E62" i="2"/>
  <c r="F62" i="2"/>
  <c r="B63" i="2" a="1"/>
  <c r="I61" i="2" l="1"/>
  <c r="H62" i="2"/>
  <c r="I62" i="2"/>
  <c r="B63" i="2"/>
  <c r="C63" i="2" s="1"/>
  <c r="B64" i="2" a="1"/>
  <c r="F63" i="2" l="1"/>
  <c r="E63" i="2"/>
  <c r="D63" i="2"/>
  <c r="G63" i="2" s="1"/>
  <c r="H63" i="2" s="1"/>
  <c r="B64" i="2"/>
  <c r="E64" i="2" s="1"/>
  <c r="B65" i="2" a="1"/>
  <c r="D64" i="2" l="1"/>
  <c r="G64" i="2" s="1"/>
  <c r="I64" i="2" s="1"/>
  <c r="C64" i="2"/>
  <c r="F64" i="2"/>
  <c r="I63" i="2"/>
  <c r="B65" i="2"/>
  <c r="C65" i="2"/>
  <c r="D65" i="2"/>
  <c r="G65" i="2" s="1"/>
  <c r="E65" i="2"/>
  <c r="F65" i="2"/>
  <c r="B66" i="2" a="1"/>
  <c r="H64" i="2" l="1"/>
  <c r="H65" i="2"/>
  <c r="I65" i="2"/>
  <c r="B66" i="2"/>
  <c r="C66" i="2"/>
  <c r="D66" i="2"/>
  <c r="G66" i="2" s="1"/>
  <c r="E66" i="2"/>
  <c r="F66" i="2"/>
  <c r="B67" i="2" a="1"/>
  <c r="I66" i="2" l="1"/>
  <c r="H66" i="2"/>
  <c r="B67" i="2"/>
  <c r="C67" i="2"/>
  <c r="D67" i="2"/>
  <c r="G67" i="2" s="1"/>
  <c r="E67" i="2"/>
  <c r="F67" i="2"/>
  <c r="B68" i="2" a="1"/>
  <c r="H67" i="2" l="1"/>
  <c r="I67" i="2"/>
  <c r="B68" i="2"/>
  <c r="C68" i="2"/>
  <c r="D68" i="2"/>
  <c r="G68" i="2" s="1"/>
  <c r="E68" i="2"/>
  <c r="F68" i="2"/>
  <c r="B69" i="2" a="1"/>
  <c r="H68" i="2" l="1"/>
  <c r="I68" i="2"/>
  <c r="B69" i="2"/>
  <c r="C69" i="2"/>
  <c r="D69" i="2"/>
  <c r="G69" i="2" s="1"/>
  <c r="E69" i="2"/>
  <c r="F69" i="2"/>
  <c r="B70" i="2" a="1"/>
  <c r="I69" i="2" l="1"/>
  <c r="H69" i="2"/>
  <c r="B70" i="2"/>
  <c r="C70" i="2"/>
  <c r="D70" i="2"/>
  <c r="G70" i="2" s="1"/>
  <c r="E70" i="2"/>
  <c r="F70" i="2"/>
  <c r="B71" i="2" a="1"/>
  <c r="H70" i="2" l="1"/>
  <c r="I70" i="2"/>
  <c r="B71" i="2"/>
  <c r="C71" i="2"/>
  <c r="D71" i="2"/>
  <c r="G71" i="2" s="1"/>
  <c r="E71" i="2"/>
  <c r="F71" i="2"/>
  <c r="B72" i="2" a="1"/>
  <c r="H71" i="2" l="1"/>
  <c r="I71" i="2"/>
  <c r="B72" i="2"/>
  <c r="C72" i="2"/>
  <c r="D72" i="2"/>
  <c r="G72" i="2" s="1"/>
  <c r="E72" i="2"/>
  <c r="F72" i="2"/>
  <c r="B73" i="2" a="1"/>
  <c r="H72" i="2" l="1"/>
  <c r="I72" i="2"/>
  <c r="B73" i="2"/>
  <c r="C73" i="2"/>
  <c r="D73" i="2"/>
  <c r="G73" i="2" s="1"/>
  <c r="E73" i="2"/>
  <c r="F73" i="2"/>
  <c r="B74" i="2" a="1"/>
  <c r="H73" i="2" l="1"/>
  <c r="I73" i="2"/>
  <c r="B74" i="2"/>
  <c r="C74" i="2"/>
  <c r="D74" i="2"/>
  <c r="G74" i="2" s="1"/>
  <c r="E74" i="2"/>
  <c r="F74" i="2"/>
  <c r="B75" i="2" a="1"/>
  <c r="I74" i="2" l="1"/>
  <c r="H74" i="2"/>
  <c r="B75" i="2"/>
  <c r="C75" i="2" s="1"/>
  <c r="D75" i="2"/>
  <c r="G75" i="2" s="1"/>
  <c r="E75" i="2"/>
  <c r="F75" i="2"/>
  <c r="B76" i="2" a="1"/>
  <c r="H75" i="2" l="1"/>
  <c r="I75" i="2"/>
  <c r="B76" i="2"/>
  <c r="C76" i="2" s="1"/>
  <c r="B77" i="2" a="1"/>
  <c r="F76" i="2" l="1"/>
  <c r="E76" i="2"/>
  <c r="D76" i="2"/>
  <c r="G76" i="2" s="1"/>
  <c r="H76" i="2" s="1"/>
  <c r="B77" i="2"/>
  <c r="C77" i="2" s="1"/>
  <c r="B78" i="2" a="1"/>
  <c r="F77" i="2" l="1"/>
  <c r="E77" i="2"/>
  <c r="D77" i="2"/>
  <c r="G77" i="2" s="1"/>
  <c r="H77" i="2" s="1"/>
  <c r="I76" i="2"/>
  <c r="B78" i="2"/>
  <c r="C78" i="2"/>
  <c r="D78" i="2"/>
  <c r="G78" i="2" s="1"/>
  <c r="E78" i="2"/>
  <c r="F78" i="2"/>
  <c r="B79" i="2" a="1"/>
  <c r="I77" i="2" l="1"/>
  <c r="H78" i="2"/>
  <c r="I78" i="2"/>
  <c r="B79" i="2"/>
  <c r="C79" i="2"/>
  <c r="D79" i="2"/>
  <c r="G79" i="2" s="1"/>
  <c r="E79" i="2"/>
  <c r="F79" i="2"/>
  <c r="B80" i="2" a="1"/>
  <c r="H79" i="2" l="1"/>
  <c r="I79" i="2"/>
  <c r="B80" i="2"/>
  <c r="C80" i="2"/>
  <c r="D80" i="2"/>
  <c r="G80" i="2" s="1"/>
  <c r="E80" i="2"/>
  <c r="F80" i="2"/>
  <c r="B81" i="2" a="1"/>
  <c r="H80" i="2" l="1"/>
  <c r="I80" i="2"/>
  <c r="B81" i="2"/>
  <c r="C81" i="2"/>
  <c r="D81" i="2"/>
  <c r="G81" i="2" s="1"/>
  <c r="E81" i="2"/>
  <c r="F81" i="2"/>
  <c r="B82" i="2" a="1"/>
  <c r="H81" i="2" l="1"/>
  <c r="I81" i="2"/>
  <c r="B82" i="2"/>
  <c r="C82" i="2"/>
  <c r="D82" i="2"/>
  <c r="G82" i="2" s="1"/>
  <c r="E82" i="2"/>
  <c r="F82" i="2"/>
  <c r="B83" i="2" a="1"/>
  <c r="H82" i="2" l="1"/>
  <c r="I82" i="2"/>
  <c r="B83" i="2"/>
  <c r="C83" i="2"/>
  <c r="D83" i="2"/>
  <c r="G83" i="2" s="1"/>
  <c r="E83" i="2"/>
  <c r="F83" i="2"/>
  <c r="B84" i="2" a="1"/>
  <c r="H83" i="2" l="1"/>
  <c r="I83" i="2"/>
  <c r="B84" i="2"/>
  <c r="D84" i="2" s="1"/>
  <c r="G84" i="2" s="1"/>
  <c r="C84" i="2"/>
  <c r="B85" i="2" a="1"/>
  <c r="F84" i="2" l="1"/>
  <c r="E84" i="2"/>
  <c r="H84" i="2"/>
  <c r="I84" i="2"/>
  <c r="B85" i="2"/>
  <c r="C85" i="2"/>
  <c r="D85" i="2"/>
  <c r="G85" i="2" s="1"/>
  <c r="E85" i="2"/>
  <c r="F85" i="2"/>
  <c r="B86" i="2" a="1"/>
  <c r="H85" i="2" l="1"/>
  <c r="I85" i="2"/>
  <c r="B86" i="2"/>
  <c r="C86" i="2"/>
  <c r="D86" i="2"/>
  <c r="G86" i="2" s="1"/>
  <c r="E86" i="2"/>
  <c r="F86" i="2"/>
  <c r="B87" i="2" a="1"/>
  <c r="H86" i="2" l="1"/>
  <c r="I86" i="2"/>
  <c r="B87" i="2"/>
  <c r="D87" i="2" s="1"/>
  <c r="G87" i="2" s="1"/>
  <c r="C87" i="2"/>
  <c r="E87" i="2"/>
  <c r="F87" i="2"/>
  <c r="B88" i="2" a="1"/>
  <c r="H87" i="2" l="1"/>
  <c r="I87" i="2"/>
  <c r="B88" i="2"/>
  <c r="C88" i="2"/>
  <c r="D88" i="2"/>
  <c r="G88" i="2" s="1"/>
  <c r="E88" i="2"/>
  <c r="F88" i="2"/>
  <c r="B89" i="2" a="1"/>
  <c r="H88" i="2" l="1"/>
  <c r="I88" i="2"/>
  <c r="B89" i="2"/>
  <c r="C89" i="2"/>
  <c r="D89" i="2"/>
  <c r="G89" i="2" s="1"/>
  <c r="E89" i="2"/>
  <c r="F89" i="2"/>
  <c r="B90" i="2" a="1"/>
  <c r="H89" i="2" l="1"/>
  <c r="I89" i="2"/>
  <c r="B90" i="2"/>
  <c r="C90" i="2"/>
  <c r="D90" i="2"/>
  <c r="G90" i="2" s="1"/>
  <c r="E90" i="2"/>
  <c r="F90" i="2"/>
  <c r="B91" i="2" a="1"/>
  <c r="H90" i="2" l="1"/>
  <c r="I90" i="2"/>
  <c r="B91" i="2"/>
  <c r="C91" i="2"/>
  <c r="D91" i="2"/>
  <c r="G91" i="2" s="1"/>
  <c r="E91" i="2"/>
  <c r="F91" i="2"/>
  <c r="B92" i="2" a="1"/>
  <c r="H91" i="2" l="1"/>
  <c r="I91" i="2"/>
  <c r="B92" i="2"/>
  <c r="C92" i="2"/>
  <c r="D92" i="2"/>
  <c r="G92" i="2" s="1"/>
  <c r="E92" i="2"/>
  <c r="F92" i="2"/>
  <c r="B93" i="2" a="1"/>
  <c r="H92" i="2" l="1"/>
  <c r="I92" i="2"/>
  <c r="B93" i="2"/>
  <c r="C93" i="2" s="1"/>
  <c r="B94" i="2" a="1"/>
  <c r="F93" i="2" l="1"/>
  <c r="E93" i="2"/>
  <c r="D93" i="2"/>
  <c r="G93" i="2" s="1"/>
  <c r="H93" i="2" s="1"/>
  <c r="B94" i="2"/>
  <c r="C94" i="2" s="1"/>
  <c r="B95" i="2" a="1"/>
  <c r="I93" i="2" l="1"/>
  <c r="F94" i="2"/>
  <c r="E94" i="2"/>
  <c r="D94" i="2"/>
  <c r="G94" i="2" s="1"/>
  <c r="H94" i="2" s="1"/>
  <c r="B95" i="2"/>
  <c r="F95" i="2" s="1"/>
  <c r="C95" i="2"/>
  <c r="D95" i="2"/>
  <c r="G95" i="2" s="1"/>
  <c r="E95" i="2"/>
  <c r="B96" i="2" a="1"/>
  <c r="I94" i="2" l="1"/>
  <c r="H95" i="2"/>
  <c r="I95" i="2"/>
  <c r="B96" i="2"/>
  <c r="C96" i="2"/>
  <c r="D96" i="2"/>
  <c r="G96" i="2" s="1"/>
  <c r="E96" i="2"/>
  <c r="F96" i="2"/>
  <c r="B97" i="2" a="1"/>
  <c r="H96" i="2" l="1"/>
  <c r="I96" i="2"/>
  <c r="B97" i="2"/>
  <c r="C97" i="2"/>
  <c r="D97" i="2"/>
  <c r="G97" i="2" s="1"/>
  <c r="E97" i="2"/>
  <c r="F97" i="2"/>
  <c r="B98" i="2" a="1"/>
  <c r="H97" i="2" l="1"/>
  <c r="I97" i="2"/>
  <c r="B98" i="2"/>
  <c r="C98" i="2"/>
  <c r="D98" i="2"/>
  <c r="G98" i="2" s="1"/>
  <c r="E98" i="2"/>
  <c r="F98" i="2"/>
  <c r="B99" i="2" a="1"/>
  <c r="H98" i="2" l="1"/>
  <c r="I98" i="2"/>
  <c r="B99" i="2"/>
  <c r="C99" i="2" s="1"/>
  <c r="D99" i="2"/>
  <c r="G99" i="2" s="1"/>
  <c r="E99" i="2"/>
  <c r="F99" i="2"/>
  <c r="B100" i="2" a="1"/>
  <c r="I99" i="2" l="1"/>
  <c r="H99" i="2"/>
  <c r="B100" i="2"/>
  <c r="C100" i="2"/>
  <c r="D100" i="2"/>
  <c r="G100" i="2" s="1"/>
  <c r="E100" i="2"/>
  <c r="F100" i="2"/>
  <c r="B101" i="2" a="1"/>
  <c r="H100" i="2" l="1"/>
  <c r="I100" i="2"/>
  <c r="B101" i="2"/>
  <c r="C101" i="2" s="1"/>
  <c r="B102" i="2" a="1"/>
  <c r="F101" i="2" l="1"/>
  <c r="E101" i="2"/>
  <c r="D101" i="2"/>
  <c r="G101" i="2" s="1"/>
  <c r="H101" i="2" s="1"/>
  <c r="B102" i="2"/>
  <c r="C102" i="2"/>
  <c r="D102" i="2"/>
  <c r="G102" i="2" s="1"/>
  <c r="E102" i="2"/>
  <c r="F102" i="2"/>
  <c r="B103" i="2" a="1"/>
  <c r="I101" i="2" l="1"/>
  <c r="I102" i="2"/>
  <c r="H102" i="2"/>
  <c r="B103" i="2"/>
  <c r="C103" i="2"/>
  <c r="D103" i="2"/>
  <c r="G103" i="2" s="1"/>
  <c r="E103" i="2"/>
  <c r="F103" i="2"/>
  <c r="B104" i="2" a="1"/>
  <c r="H103" i="2" l="1"/>
  <c r="I103" i="2"/>
  <c r="B104" i="2"/>
  <c r="C104" i="2"/>
  <c r="D104" i="2"/>
  <c r="G104" i="2" s="1"/>
  <c r="E104" i="2"/>
  <c r="F104" i="2"/>
  <c r="B105" i="2" a="1"/>
  <c r="H104" i="2" l="1"/>
  <c r="I104" i="2"/>
  <c r="B105" i="2"/>
  <c r="C105" i="2"/>
  <c r="D105" i="2"/>
  <c r="G105" i="2" s="1"/>
  <c r="E105" i="2"/>
  <c r="F105" i="2"/>
  <c r="B106" i="2" a="1"/>
  <c r="H105" i="2" l="1"/>
  <c r="I105" i="2"/>
  <c r="B106" i="2"/>
  <c r="C106" i="2"/>
  <c r="D106" i="2"/>
  <c r="G106" i="2" s="1"/>
  <c r="E106" i="2"/>
  <c r="F106" i="2"/>
  <c r="B107" i="2" a="1"/>
  <c r="H106" i="2" l="1"/>
  <c r="I106" i="2"/>
  <c r="B107" i="2"/>
  <c r="C107" i="2"/>
  <c r="D107" i="2"/>
  <c r="G107" i="2" s="1"/>
  <c r="E107" i="2"/>
  <c r="F107" i="2"/>
  <c r="B108" i="2" a="1"/>
  <c r="H107" i="2" l="1"/>
  <c r="I107" i="2"/>
  <c r="B108" i="2"/>
  <c r="C108" i="2"/>
  <c r="D108" i="2"/>
  <c r="G108" i="2" s="1"/>
  <c r="E108" i="2"/>
  <c r="F108" i="2"/>
  <c r="B109" i="2" a="1"/>
  <c r="H108" i="2" l="1"/>
  <c r="I108" i="2"/>
  <c r="B109" i="2"/>
  <c r="C109" i="2"/>
  <c r="D109" i="2"/>
  <c r="G109" i="2" s="1"/>
  <c r="E109" i="2"/>
  <c r="F109" i="2"/>
  <c r="B110" i="2" a="1"/>
  <c r="H109" i="2" l="1"/>
  <c r="I109" i="2"/>
  <c r="B110" i="2"/>
  <c r="C110" i="2"/>
  <c r="D110" i="2"/>
  <c r="G110" i="2" s="1"/>
  <c r="E110" i="2"/>
  <c r="F110" i="2"/>
  <c r="B111" i="2" a="1"/>
  <c r="I110" i="2" l="1"/>
  <c r="H110" i="2"/>
  <c r="B111" i="2"/>
  <c r="C111" i="2"/>
  <c r="D111" i="2"/>
  <c r="G111" i="2" s="1"/>
  <c r="E111" i="2"/>
  <c r="F111" i="2"/>
  <c r="B112" i="2" a="1"/>
  <c r="I111" i="2" l="1"/>
  <c r="H111" i="2"/>
  <c r="B112" i="2"/>
  <c r="C112" i="2" s="1"/>
  <c r="D112" i="2"/>
  <c r="G112" i="2" s="1"/>
  <c r="E112" i="2"/>
  <c r="F112" i="2"/>
  <c r="B113" i="2" a="1"/>
  <c r="H112" i="2" l="1"/>
  <c r="I112" i="2"/>
  <c r="B113" i="2"/>
  <c r="C113" i="2"/>
  <c r="D113" i="2"/>
  <c r="G113" i="2" s="1"/>
  <c r="E113" i="2"/>
  <c r="F113" i="2"/>
  <c r="B114" i="2" a="1"/>
  <c r="H113" i="2" l="1"/>
  <c r="I113" i="2"/>
  <c r="B114" i="2"/>
  <c r="C114" i="2"/>
  <c r="D114" i="2"/>
  <c r="G114" i="2" s="1"/>
  <c r="E114" i="2"/>
  <c r="F114" i="2"/>
  <c r="B115" i="2" a="1"/>
  <c r="H114" i="2" l="1"/>
  <c r="I114" i="2"/>
  <c r="B115" i="2"/>
  <c r="C115" i="2"/>
  <c r="D115" i="2"/>
  <c r="G115" i="2" s="1"/>
  <c r="E115" i="2"/>
  <c r="F115" i="2"/>
  <c r="B116" i="2" a="1"/>
  <c r="I115" i="2" l="1"/>
  <c r="H115" i="2"/>
  <c r="B116" i="2"/>
  <c r="C116" i="2"/>
  <c r="D116" i="2"/>
  <c r="G116" i="2" s="1"/>
  <c r="E116" i="2"/>
  <c r="F116" i="2"/>
  <c r="B117" i="2" a="1"/>
  <c r="I116" i="2" l="1"/>
  <c r="H116" i="2"/>
  <c r="B117" i="2"/>
  <c r="C117" i="2"/>
  <c r="D117" i="2"/>
  <c r="G117" i="2" s="1"/>
  <c r="E117" i="2"/>
  <c r="F117" i="2"/>
  <c r="B118" i="2" a="1"/>
  <c r="H117" i="2" l="1"/>
  <c r="I117" i="2"/>
  <c r="B118" i="2"/>
  <c r="C118" i="2" s="1"/>
  <c r="D118" i="2"/>
  <c r="G118" i="2" s="1"/>
  <c r="E118" i="2"/>
  <c r="F118" i="2"/>
  <c r="B119" i="2" a="1"/>
  <c r="H118" i="2" l="1"/>
  <c r="I118" i="2"/>
  <c r="B119" i="2"/>
  <c r="C119" i="2"/>
  <c r="D119" i="2"/>
  <c r="G119" i="2" s="1"/>
  <c r="E119" i="2"/>
  <c r="F119" i="2"/>
  <c r="B120" i="2" a="1"/>
  <c r="H119" i="2" l="1"/>
  <c r="I119" i="2"/>
  <c r="B120" i="2"/>
  <c r="C120" i="2"/>
  <c r="D120" i="2"/>
  <c r="G120" i="2" s="1"/>
  <c r="E120" i="2"/>
  <c r="F120" i="2"/>
  <c r="B121" i="2" a="1"/>
  <c r="H120" i="2" l="1"/>
  <c r="I120" i="2"/>
  <c r="B121" i="2"/>
  <c r="C121" i="2"/>
  <c r="D121" i="2"/>
  <c r="G121" i="2" s="1"/>
  <c r="E121" i="2"/>
  <c r="F121" i="2"/>
  <c r="B122" i="2" a="1"/>
  <c r="H121" i="2" l="1"/>
  <c r="I121" i="2"/>
  <c r="B122" i="2"/>
  <c r="C122" i="2"/>
  <c r="D122" i="2"/>
  <c r="G122" i="2" s="1"/>
  <c r="E122" i="2"/>
  <c r="F122" i="2"/>
  <c r="B123" i="2" a="1"/>
  <c r="H122" i="2" l="1"/>
  <c r="I122" i="2"/>
  <c r="B123" i="2"/>
  <c r="C123" i="2"/>
  <c r="D123" i="2"/>
  <c r="G123" i="2" s="1"/>
  <c r="E123" i="2"/>
  <c r="F123" i="2"/>
  <c r="B124" i="2" a="1"/>
  <c r="H123" i="2" l="1"/>
  <c r="I123" i="2"/>
  <c r="B124" i="2"/>
  <c r="C124" i="2"/>
  <c r="D124" i="2"/>
  <c r="G124" i="2" s="1"/>
  <c r="E124" i="2"/>
  <c r="F124" i="2"/>
  <c r="B125" i="2" a="1"/>
  <c r="H124" i="2" l="1"/>
  <c r="I124" i="2"/>
  <c r="B125" i="2"/>
  <c r="C125" i="2" s="1"/>
  <c r="D125" i="2"/>
  <c r="G125" i="2" s="1"/>
  <c r="E125" i="2"/>
  <c r="F125" i="2"/>
  <c r="B126" i="2" a="1"/>
  <c r="H125" i="2" l="1"/>
  <c r="I125" i="2"/>
  <c r="B126" i="2"/>
  <c r="C126" i="2"/>
  <c r="D126" i="2"/>
  <c r="G126" i="2" s="1"/>
  <c r="E126" i="2"/>
  <c r="F126" i="2"/>
  <c r="B127" i="2" a="1"/>
  <c r="H126" i="2" l="1"/>
  <c r="I126" i="2"/>
  <c r="B127" i="2"/>
  <c r="C127" i="2"/>
  <c r="D127" i="2"/>
  <c r="G127" i="2" s="1"/>
  <c r="E127" i="2"/>
  <c r="F127" i="2"/>
  <c r="B128" i="2" a="1"/>
  <c r="H127" i="2" l="1"/>
  <c r="I127" i="2"/>
  <c r="B128" i="2"/>
  <c r="C128" i="2"/>
  <c r="D128" i="2"/>
  <c r="G128" i="2" s="1"/>
  <c r="E128" i="2"/>
  <c r="F128" i="2"/>
  <c r="B129" i="2" a="1"/>
  <c r="I128" i="2" l="1"/>
  <c r="H128" i="2"/>
  <c r="B129" i="2"/>
  <c r="C129" i="2" s="1"/>
  <c r="D129" i="2"/>
  <c r="G129" i="2" s="1"/>
  <c r="E129" i="2"/>
  <c r="F129" i="2"/>
  <c r="B130" i="2" a="1"/>
  <c r="I129" i="2" l="1"/>
  <c r="H129" i="2"/>
  <c r="B130" i="2"/>
  <c r="C130" i="2" s="1"/>
  <c r="D130" i="2"/>
  <c r="G130" i="2" s="1"/>
  <c r="F130" i="2"/>
  <c r="B131" i="2" a="1"/>
  <c r="E130" i="2" l="1"/>
  <c r="H130" i="2"/>
  <c r="I130" i="2"/>
  <c r="B131" i="2"/>
  <c r="C131" i="2"/>
  <c r="D131" i="2"/>
  <c r="G131" i="2" s="1"/>
  <c r="E131" i="2"/>
  <c r="F131" i="2"/>
  <c r="B132" i="2" a="1"/>
  <c r="H131" i="2" l="1"/>
  <c r="I131" i="2"/>
  <c r="B132" i="2"/>
  <c r="C132" i="2" s="1"/>
  <c r="D132" i="2"/>
  <c r="G132" i="2" s="1"/>
  <c r="E132" i="2"/>
  <c r="F132" i="2"/>
  <c r="B133" i="2" a="1"/>
  <c r="H132" i="2" l="1"/>
  <c r="I132" i="2"/>
  <c r="B133" i="2"/>
  <c r="C133" i="2"/>
  <c r="D133" i="2"/>
  <c r="G133" i="2" s="1"/>
  <c r="E133" i="2"/>
  <c r="F133" i="2"/>
  <c r="B134" i="2" a="1"/>
  <c r="H133" i="2" l="1"/>
  <c r="I133" i="2"/>
  <c r="B134" i="2"/>
  <c r="C134" i="2" s="1"/>
  <c r="F134" i="2"/>
  <c r="B135" i="2" a="1"/>
  <c r="E134" i="2" l="1"/>
  <c r="D134" i="2"/>
  <c r="G134" i="2" s="1"/>
  <c r="H134" i="2" s="1"/>
  <c r="B135" i="2"/>
  <c r="D135" i="2" s="1"/>
  <c r="G135" i="2" s="1"/>
  <c r="C135" i="2"/>
  <c r="E135" i="2"/>
  <c r="F135" i="2"/>
  <c r="B136" i="2" a="1"/>
  <c r="I134" i="2" l="1"/>
  <c r="I135" i="2"/>
  <c r="H135" i="2"/>
  <c r="B136" i="2"/>
  <c r="C136" i="2" s="1"/>
  <c r="F136" i="2"/>
  <c r="B137" i="2" a="1"/>
  <c r="E136" i="2" l="1"/>
  <c r="D136" i="2"/>
  <c r="G136" i="2" s="1"/>
  <c r="I136" i="2" s="1"/>
  <c r="B137" i="2"/>
  <c r="C137" i="2"/>
  <c r="D137" i="2"/>
  <c r="G137" i="2" s="1"/>
  <c r="E137" i="2"/>
  <c r="F137" i="2"/>
  <c r="B138" i="2" a="1"/>
  <c r="H136" i="2" l="1"/>
  <c r="I137" i="2"/>
  <c r="H137" i="2"/>
  <c r="B138" i="2"/>
  <c r="C138" i="2"/>
  <c r="D138" i="2"/>
  <c r="G138" i="2" s="1"/>
  <c r="E138" i="2"/>
  <c r="F138" i="2"/>
  <c r="B139" i="2" a="1"/>
  <c r="H138" i="2" l="1"/>
  <c r="I138" i="2"/>
  <c r="B139" i="2"/>
  <c r="C139" i="2"/>
  <c r="D139" i="2"/>
  <c r="G139" i="2" s="1"/>
  <c r="E139" i="2"/>
  <c r="F139" i="2"/>
  <c r="B140" i="2" a="1"/>
  <c r="H139" i="2" l="1"/>
  <c r="I139" i="2"/>
  <c r="B140" i="2"/>
  <c r="C140" i="2"/>
  <c r="D140" i="2"/>
  <c r="G140" i="2" s="1"/>
  <c r="E140" i="2"/>
  <c r="F140" i="2"/>
  <c r="B141" i="2" a="1"/>
  <c r="I140" i="2" l="1"/>
  <c r="H140" i="2"/>
  <c r="B141" i="2"/>
  <c r="C141" i="2"/>
  <c r="D141" i="2"/>
  <c r="G141" i="2" s="1"/>
  <c r="E141" i="2"/>
  <c r="F141" i="2"/>
  <c r="B142" i="2" a="1"/>
  <c r="H141" i="2" l="1"/>
  <c r="I141" i="2"/>
  <c r="B142" i="2"/>
  <c r="C142" i="2"/>
  <c r="D142" i="2"/>
  <c r="G142" i="2" s="1"/>
  <c r="E142" i="2"/>
  <c r="F142" i="2"/>
  <c r="B143" i="2" a="1"/>
  <c r="H142" i="2" l="1"/>
  <c r="I142" i="2"/>
  <c r="B143" i="2"/>
  <c r="C143" i="2" s="1"/>
  <c r="D143" i="2"/>
  <c r="G143" i="2" s="1"/>
  <c r="E143" i="2"/>
  <c r="F143" i="2"/>
  <c r="B144" i="2" a="1"/>
  <c r="I143" i="2" l="1"/>
  <c r="H143" i="2"/>
  <c r="B144" i="2"/>
  <c r="C144" i="2"/>
  <c r="D144" i="2"/>
  <c r="G144" i="2" s="1"/>
  <c r="E144" i="2"/>
  <c r="F144" i="2"/>
  <c r="B145" i="2" a="1"/>
  <c r="I144" i="2" l="1"/>
  <c r="H144" i="2"/>
  <c r="B145" i="2"/>
  <c r="C145" i="2" s="1"/>
  <c r="D145" i="2"/>
  <c r="G145" i="2" s="1"/>
  <c r="E145" i="2"/>
  <c r="F145" i="2"/>
  <c r="B146" i="2" a="1"/>
  <c r="H145" i="2" l="1"/>
  <c r="I145" i="2"/>
  <c r="B146" i="2"/>
  <c r="C146" i="2"/>
  <c r="D146" i="2"/>
  <c r="G146" i="2" s="1"/>
  <c r="E146" i="2"/>
  <c r="F146" i="2"/>
  <c r="B147" i="2" a="1"/>
  <c r="H146" i="2" l="1"/>
  <c r="I146" i="2"/>
  <c r="B147" i="2"/>
  <c r="C147" i="2"/>
  <c r="D147" i="2"/>
  <c r="G147" i="2" s="1"/>
  <c r="E147" i="2"/>
  <c r="F147" i="2"/>
  <c r="B148" i="2" a="1"/>
  <c r="H147" i="2" l="1"/>
  <c r="I147" i="2"/>
  <c r="B148" i="2"/>
  <c r="C148" i="2"/>
  <c r="D148" i="2"/>
  <c r="G148" i="2" s="1"/>
  <c r="E148" i="2"/>
  <c r="F148" i="2"/>
  <c r="B149" i="2" a="1"/>
  <c r="H148" i="2" l="1"/>
  <c r="I148" i="2"/>
  <c r="B149" i="2"/>
  <c r="C149" i="2"/>
  <c r="D149" i="2"/>
  <c r="G149" i="2" s="1"/>
  <c r="E149" i="2"/>
  <c r="F149" i="2"/>
  <c r="B150" i="2" a="1"/>
  <c r="H149" i="2" l="1"/>
  <c r="I149" i="2"/>
  <c r="B150" i="2"/>
  <c r="C150" i="2"/>
  <c r="D150" i="2"/>
  <c r="G150" i="2" s="1"/>
  <c r="E150" i="2"/>
  <c r="F150" i="2"/>
  <c r="B151" i="2" a="1"/>
  <c r="H150" i="2" l="1"/>
  <c r="I150" i="2"/>
  <c r="B151" i="2"/>
  <c r="C151" i="2" s="1"/>
  <c r="D151" i="2"/>
  <c r="G151" i="2" s="1"/>
  <c r="E151" i="2"/>
  <c r="F151" i="2"/>
  <c r="B152" i="2" a="1"/>
  <c r="H151" i="2" l="1"/>
  <c r="I151" i="2"/>
  <c r="B152" i="2"/>
  <c r="C152" i="2" s="1"/>
  <c r="F152" i="2"/>
  <c r="B153" i="2" a="1"/>
  <c r="E152" i="2" l="1"/>
  <c r="D152" i="2"/>
  <c r="G152" i="2" s="1"/>
  <c r="H152" i="2" s="1"/>
  <c r="B153" i="2"/>
  <c r="C153" i="2"/>
  <c r="D153" i="2"/>
  <c r="G153" i="2" s="1"/>
  <c r="E153" i="2"/>
  <c r="F153" i="2"/>
  <c r="B154" i="2" a="1"/>
  <c r="I152" i="2" l="1"/>
  <c r="H153" i="2"/>
  <c r="I153" i="2"/>
  <c r="B154" i="2"/>
  <c r="C154" i="2"/>
  <c r="D154" i="2"/>
  <c r="G154" i="2" s="1"/>
  <c r="E154" i="2"/>
  <c r="F154" i="2"/>
  <c r="B155" i="2" a="1"/>
  <c r="H154" i="2" l="1"/>
  <c r="I154" i="2"/>
  <c r="B155" i="2"/>
  <c r="C155" i="2" s="1"/>
  <c r="E155" i="2"/>
  <c r="F155" i="2"/>
  <c r="B156" i="2" a="1"/>
  <c r="D155" i="2" l="1"/>
  <c r="G155" i="2" s="1"/>
  <c r="H155" i="2" s="1"/>
  <c r="B156" i="2"/>
  <c r="C156" i="2"/>
  <c r="D156" i="2"/>
  <c r="G156" i="2" s="1"/>
  <c r="E156" i="2"/>
  <c r="F156" i="2"/>
  <c r="B157" i="2" a="1"/>
  <c r="I155" i="2" l="1"/>
  <c r="H156" i="2"/>
  <c r="I156" i="2"/>
  <c r="B157" i="2"/>
  <c r="D157" i="2" s="1"/>
  <c r="G157" i="2" s="1"/>
  <c r="C157" i="2"/>
  <c r="E157" i="2"/>
  <c r="F157" i="2"/>
  <c r="B158" i="2" a="1"/>
  <c r="I157" i="2" l="1"/>
  <c r="H157" i="2"/>
  <c r="B158" i="2"/>
  <c r="C158" i="2"/>
  <c r="D158" i="2"/>
  <c r="G158" i="2" s="1"/>
  <c r="E158" i="2"/>
  <c r="F158" i="2"/>
  <c r="B159" i="2" a="1"/>
  <c r="H158" i="2" l="1"/>
  <c r="I158" i="2"/>
  <c r="B159" i="2"/>
  <c r="C159" i="2"/>
  <c r="D159" i="2"/>
  <c r="G159" i="2" s="1"/>
  <c r="E159" i="2"/>
  <c r="F159" i="2"/>
  <c r="B160" i="2" a="1"/>
  <c r="H159" i="2" l="1"/>
  <c r="I159" i="2"/>
  <c r="B160" i="2"/>
  <c r="C160" i="2" s="1"/>
  <c r="D160" i="2"/>
  <c r="G160" i="2" s="1"/>
  <c r="E160" i="2"/>
  <c r="F160" i="2"/>
  <c r="B161" i="2" a="1"/>
  <c r="H160" i="2" l="1"/>
  <c r="I160" i="2"/>
  <c r="B161" i="2"/>
  <c r="C161" i="2"/>
  <c r="D161" i="2"/>
  <c r="G161" i="2" s="1"/>
  <c r="E161" i="2"/>
  <c r="F161" i="2"/>
  <c r="B162" i="2" a="1"/>
  <c r="I161" i="2" l="1"/>
  <c r="H161" i="2"/>
  <c r="B162" i="2"/>
  <c r="C162" i="2" s="1"/>
  <c r="E162" i="2"/>
  <c r="F162" i="2"/>
  <c r="B163" i="2" a="1"/>
  <c r="D162" i="2" l="1"/>
  <c r="G162" i="2" s="1"/>
  <c r="I162" i="2" s="1"/>
  <c r="B163" i="2"/>
  <c r="C163" i="2"/>
  <c r="D163" i="2"/>
  <c r="G163" i="2" s="1"/>
  <c r="E163" i="2"/>
  <c r="F163" i="2"/>
  <c r="B164" i="2" a="1"/>
  <c r="H162" i="2" l="1"/>
  <c r="H163" i="2"/>
  <c r="I163" i="2"/>
  <c r="B164" i="2"/>
  <c r="C164" i="2"/>
  <c r="D164" i="2"/>
  <c r="G164" i="2" s="1"/>
  <c r="E164" i="2"/>
  <c r="F164" i="2"/>
  <c r="B165" i="2" a="1"/>
  <c r="H164" i="2" l="1"/>
  <c r="I164" i="2"/>
  <c r="B165" i="2"/>
  <c r="C165" i="2"/>
  <c r="D165" i="2"/>
  <c r="G165" i="2" s="1"/>
  <c r="E165" i="2"/>
  <c r="F165" i="2"/>
  <c r="B166" i="2" a="1"/>
  <c r="H165" i="2" l="1"/>
  <c r="I165" i="2"/>
  <c r="B166" i="2"/>
  <c r="C166" i="2"/>
  <c r="D166" i="2"/>
  <c r="G166" i="2" s="1"/>
  <c r="E166" i="2"/>
  <c r="F166" i="2"/>
  <c r="B167" i="2" a="1"/>
  <c r="H166" i="2" l="1"/>
  <c r="I166" i="2"/>
  <c r="B167" i="2"/>
  <c r="C167" i="2" s="1"/>
  <c r="B168" i="2" a="1"/>
  <c r="F167" i="2" l="1"/>
  <c r="E167" i="2"/>
  <c r="D167" i="2"/>
  <c r="G167" i="2" s="1"/>
  <c r="H167" i="2" s="1"/>
  <c r="B168" i="2"/>
  <c r="C168" i="2"/>
  <c r="D168" i="2"/>
  <c r="G168" i="2" s="1"/>
  <c r="E168" i="2"/>
  <c r="F168" i="2"/>
  <c r="B169" i="2" a="1"/>
  <c r="I167" i="2" l="1"/>
  <c r="H168" i="2"/>
  <c r="I168" i="2"/>
  <c r="B169" i="2"/>
  <c r="C169" i="2"/>
  <c r="D169" i="2"/>
  <c r="G169" i="2" s="1"/>
  <c r="E169" i="2"/>
  <c r="F169" i="2"/>
  <c r="B170" i="2" a="1"/>
  <c r="H169" i="2" l="1"/>
  <c r="I169" i="2"/>
  <c r="B170" i="2"/>
  <c r="C170" i="2"/>
  <c r="D170" i="2"/>
  <c r="G170" i="2" s="1"/>
  <c r="E170" i="2"/>
  <c r="F170" i="2"/>
  <c r="B171" i="2" a="1"/>
  <c r="H170" i="2" l="1"/>
  <c r="I170" i="2"/>
  <c r="B171" i="2"/>
  <c r="C171" i="2"/>
  <c r="D171" i="2"/>
  <c r="G171" i="2" s="1"/>
  <c r="E171" i="2"/>
  <c r="F171" i="2"/>
  <c r="B172" i="2" a="1"/>
  <c r="H171" i="2" l="1"/>
  <c r="I171" i="2"/>
  <c r="B172" i="2"/>
  <c r="C172" i="2"/>
  <c r="D172" i="2"/>
  <c r="G172" i="2" s="1"/>
  <c r="E172" i="2"/>
  <c r="F172" i="2"/>
  <c r="B173" i="2" a="1"/>
  <c r="H172" i="2" l="1"/>
  <c r="I172" i="2"/>
  <c r="B173" i="2"/>
  <c r="C173" i="2"/>
  <c r="D173" i="2"/>
  <c r="G173" i="2" s="1"/>
  <c r="E173" i="2"/>
  <c r="F173" i="2"/>
  <c r="B174" i="2" a="1"/>
  <c r="H173" i="2" l="1"/>
  <c r="I173" i="2"/>
  <c r="B174" i="2"/>
  <c r="C174" i="2" s="1"/>
  <c r="F174" i="2"/>
  <c r="B175" i="2" a="1"/>
  <c r="E174" i="2" l="1"/>
  <c r="D174" i="2"/>
  <c r="G174" i="2" s="1"/>
  <c r="H174" i="2" s="1"/>
  <c r="B175" i="2"/>
  <c r="C175" i="2" s="1"/>
  <c r="D175" i="2"/>
  <c r="G175" i="2" s="1"/>
  <c r="E175" i="2"/>
  <c r="F175" i="2"/>
  <c r="B176" i="2" a="1"/>
  <c r="I174" i="2" l="1"/>
  <c r="H175" i="2"/>
  <c r="I175" i="2"/>
  <c r="B176" i="2"/>
  <c r="C176" i="2"/>
  <c r="D176" i="2"/>
  <c r="G176" i="2" s="1"/>
  <c r="E176" i="2"/>
  <c r="F176" i="2"/>
  <c r="B177" i="2" a="1"/>
  <c r="H176" i="2" l="1"/>
  <c r="I176" i="2"/>
  <c r="B177" i="2"/>
  <c r="C177" i="2" s="1"/>
  <c r="B178" i="2" a="1"/>
  <c r="F177" i="2" l="1"/>
  <c r="E177" i="2"/>
  <c r="D177" i="2"/>
  <c r="G177" i="2" s="1"/>
  <c r="H177" i="2" s="1"/>
  <c r="B178" i="2"/>
  <c r="C178" i="2"/>
  <c r="D178" i="2"/>
  <c r="G178" i="2" s="1"/>
  <c r="E178" i="2"/>
  <c r="F178" i="2"/>
  <c r="B179" i="2" a="1"/>
  <c r="I177" i="2" l="1"/>
  <c r="H178" i="2"/>
  <c r="I178" i="2"/>
  <c r="B179" i="2"/>
  <c r="C179" i="2"/>
  <c r="D179" i="2"/>
  <c r="G179" i="2" s="1"/>
  <c r="E179" i="2"/>
  <c r="F179" i="2"/>
  <c r="B180" i="2" a="1"/>
  <c r="H179" i="2" l="1"/>
  <c r="I179" i="2"/>
  <c r="B180" i="2"/>
  <c r="C180" i="2"/>
  <c r="D180" i="2"/>
  <c r="G180" i="2" s="1"/>
  <c r="E180" i="2"/>
  <c r="F180" i="2"/>
  <c r="B181" i="2" a="1"/>
  <c r="H180" i="2" l="1"/>
  <c r="I180" i="2"/>
  <c r="B181" i="2"/>
  <c r="C181" i="2" s="1"/>
  <c r="B182" i="2" a="1"/>
  <c r="F181" i="2" l="1"/>
  <c r="E181" i="2"/>
  <c r="D181" i="2"/>
  <c r="G181" i="2" s="1"/>
  <c r="H181" i="2" s="1"/>
  <c r="B182" i="2"/>
  <c r="C182" i="2"/>
  <c r="D182" i="2"/>
  <c r="G182" i="2" s="1"/>
  <c r="E182" i="2"/>
  <c r="F182" i="2"/>
  <c r="B183" i="2" a="1"/>
  <c r="I181" i="2" l="1"/>
  <c r="H182" i="2"/>
  <c r="I182" i="2"/>
  <c r="B183" i="2"/>
  <c r="C183" i="2"/>
  <c r="D183" i="2"/>
  <c r="G183" i="2" s="1"/>
  <c r="E183" i="2"/>
  <c r="F183" i="2"/>
  <c r="B184" i="2" a="1"/>
  <c r="H183" i="2" l="1"/>
  <c r="I183" i="2"/>
  <c r="B184" i="2"/>
  <c r="C184" i="2" s="1"/>
  <c r="B185" i="2" a="1"/>
  <c r="F184" i="2" l="1"/>
  <c r="E184" i="2"/>
  <c r="D184" i="2"/>
  <c r="G184" i="2" s="1"/>
  <c r="H184" i="2" s="1"/>
  <c r="B185" i="2"/>
  <c r="C185" i="2"/>
  <c r="D185" i="2"/>
  <c r="G185" i="2" s="1"/>
  <c r="E185" i="2"/>
  <c r="F185" i="2"/>
  <c r="B186" i="2" a="1"/>
  <c r="I184" i="2" l="1"/>
  <c r="H185" i="2"/>
  <c r="I185" i="2"/>
  <c r="B186" i="2"/>
  <c r="C186" i="2"/>
  <c r="D186" i="2"/>
  <c r="G186" i="2" s="1"/>
  <c r="E186" i="2"/>
  <c r="F186" i="2"/>
  <c r="B187" i="2" a="1"/>
  <c r="H186" i="2" l="1"/>
  <c r="I186" i="2"/>
  <c r="B187" i="2"/>
  <c r="C187" i="2" s="1"/>
  <c r="E187" i="2"/>
  <c r="F187" i="2"/>
  <c r="B188" i="2" a="1"/>
  <c r="D187" i="2" l="1"/>
  <c r="G187" i="2" s="1"/>
  <c r="H187" i="2" s="1"/>
  <c r="B188" i="2"/>
  <c r="C188" i="2"/>
  <c r="D188" i="2"/>
  <c r="G188" i="2" s="1"/>
  <c r="E188" i="2"/>
  <c r="F188" i="2"/>
  <c r="B189" i="2" a="1"/>
  <c r="I187" i="2" l="1"/>
  <c r="H188" i="2"/>
  <c r="I188" i="2"/>
  <c r="B189" i="2"/>
  <c r="C189" i="2"/>
  <c r="D189" i="2"/>
  <c r="G189" i="2" s="1"/>
  <c r="E189" i="2"/>
  <c r="F189" i="2"/>
  <c r="B190" i="2" a="1"/>
  <c r="H189" i="2" l="1"/>
  <c r="I189" i="2"/>
  <c r="B190" i="2"/>
  <c r="C190" i="2" s="1"/>
  <c r="D190" i="2"/>
  <c r="G190" i="2" s="1"/>
  <c r="E190" i="2"/>
  <c r="F190" i="2"/>
  <c r="B191" i="2" a="1"/>
  <c r="I190" i="2" l="1"/>
  <c r="H190" i="2"/>
  <c r="B191" i="2"/>
  <c r="C191" i="2" s="1"/>
  <c r="B192" i="2" a="1"/>
  <c r="F191" i="2" l="1"/>
  <c r="E191" i="2"/>
  <c r="D191" i="2"/>
  <c r="G191" i="2" s="1"/>
  <c r="H191" i="2" s="1"/>
  <c r="B192" i="2"/>
  <c r="C192" i="2"/>
  <c r="D192" i="2"/>
  <c r="G192" i="2" s="1"/>
  <c r="E192" i="2"/>
  <c r="F192" i="2"/>
  <c r="B193" i="2" a="1"/>
  <c r="I191" i="2" l="1"/>
  <c r="I192" i="2"/>
  <c r="H192" i="2"/>
  <c r="B193" i="2"/>
  <c r="C193" i="2"/>
  <c r="D193" i="2"/>
  <c r="G193" i="2" s="1"/>
  <c r="E193" i="2"/>
  <c r="F193" i="2"/>
  <c r="B194" i="2" a="1"/>
  <c r="H193" i="2" l="1"/>
  <c r="I193" i="2"/>
  <c r="B194" i="2"/>
  <c r="C194" i="2" s="1"/>
  <c r="B195" i="2" a="1"/>
  <c r="F194" i="2" l="1"/>
  <c r="E194" i="2"/>
  <c r="D194" i="2"/>
  <c r="G194" i="2" s="1"/>
  <c r="B195" i="2"/>
  <c r="C195" i="2" s="1"/>
  <c r="B196" i="2" a="1"/>
  <c r="F195" i="2" l="1"/>
  <c r="E195" i="2"/>
  <c r="D195" i="2"/>
  <c r="G195" i="2" s="1"/>
  <c r="H194" i="2"/>
  <c r="I194" i="2"/>
  <c r="B196" i="2"/>
  <c r="C196" i="2"/>
  <c r="D196" i="2"/>
  <c r="G196" i="2" s="1"/>
  <c r="E196" i="2"/>
  <c r="F196" i="2"/>
  <c r="B197" i="2" a="1"/>
  <c r="H195" i="2" l="1"/>
  <c r="I195" i="2"/>
  <c r="H196" i="2"/>
  <c r="I196" i="2"/>
  <c r="B197" i="2"/>
  <c r="C197" i="2"/>
  <c r="D197" i="2"/>
  <c r="G197" i="2" s="1"/>
  <c r="E197" i="2"/>
  <c r="F197" i="2"/>
  <c r="B198" i="2" a="1"/>
  <c r="H197" i="2" l="1"/>
  <c r="I197" i="2"/>
  <c r="B198" i="2"/>
  <c r="C198" i="2"/>
  <c r="D198" i="2"/>
  <c r="G198" i="2" s="1"/>
  <c r="E198" i="2"/>
  <c r="F198" i="2"/>
  <c r="B199" i="2" a="1"/>
  <c r="I198" i="2" l="1"/>
  <c r="H198" i="2"/>
  <c r="B199" i="2"/>
  <c r="C199" i="2" s="1"/>
  <c r="E199" i="2"/>
  <c r="F199" i="2"/>
  <c r="B200" i="2" a="1"/>
  <c r="D199" i="2" l="1"/>
  <c r="G199" i="2" s="1"/>
  <c r="H199" i="2" s="1"/>
  <c r="B200" i="2"/>
  <c r="C200" i="2" s="1"/>
  <c r="B201" i="2" a="1"/>
  <c r="I199" i="2" l="1"/>
  <c r="F200" i="2"/>
  <c r="E200" i="2"/>
  <c r="D200" i="2"/>
  <c r="G200" i="2" s="1"/>
  <c r="B201" i="2"/>
  <c r="C201" i="2" s="1"/>
  <c r="B202" i="2" a="1"/>
  <c r="F201" i="2" l="1"/>
  <c r="E201" i="2"/>
  <c r="D201" i="2"/>
  <c r="G201" i="2" s="1"/>
  <c r="H201" i="2" s="1"/>
  <c r="H200" i="2"/>
  <c r="I200" i="2"/>
  <c r="B202" i="2"/>
  <c r="D202" i="2" s="1"/>
  <c r="G202" i="2" s="1"/>
  <c r="C202" i="2"/>
  <c r="E202" i="2"/>
  <c r="F202" i="2"/>
  <c r="B203" i="2" a="1"/>
  <c r="I201" i="2" l="1"/>
  <c r="H202" i="2"/>
  <c r="I202" i="2"/>
  <c r="B203" i="2"/>
  <c r="D203" i="2" s="1"/>
  <c r="G203" i="2" s="1"/>
  <c r="E203" i="2"/>
  <c r="F203" i="2"/>
  <c r="C203" i="2" l="1"/>
  <c r="I203" i="2"/>
  <c r="H20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<sst xmlns="http://schemas.openxmlformats.org/spreadsheetml/2006/main" count="472" uniqueCount="49">
  <si>
    <t>UWY</t>
  </si>
  <si>
    <t>ResClass</t>
  </si>
  <si>
    <t>Premium Ultimate</t>
  </si>
  <si>
    <t>Case Reserves</t>
  </si>
  <si>
    <t>Total Incurred Claims</t>
  </si>
  <si>
    <t>SIBNR</t>
  </si>
  <si>
    <t>IBNR MBE</t>
  </si>
  <si>
    <t>IBNR Stat</t>
  </si>
  <si>
    <t>Total Reserves MBE</t>
  </si>
  <si>
    <t>GULR MBE</t>
  </si>
  <si>
    <t>Total Reserves Stat</t>
  </si>
  <si>
    <t>GULR Stat</t>
  </si>
  <si>
    <t>ENUPS</t>
  </si>
  <si>
    <t>ENDWM</t>
  </si>
  <si>
    <t>ENCON</t>
  </si>
  <si>
    <t>DBENR</t>
  </si>
  <si>
    <t>DBLIF</t>
  </si>
  <si>
    <t>DBPRO</t>
  </si>
  <si>
    <t>DBTRT</t>
  </si>
  <si>
    <t>LIIND</t>
  </si>
  <si>
    <t>LISHT</t>
  </si>
  <si>
    <t>LIMED</t>
  </si>
  <si>
    <t>LIMLT</t>
  </si>
  <si>
    <t>PRTOT</t>
  </si>
  <si>
    <t>DCMAR</t>
  </si>
  <si>
    <t>DCENR</t>
  </si>
  <si>
    <t>DCPRO</t>
  </si>
  <si>
    <t>DCBON</t>
  </si>
  <si>
    <t>DCFIL</t>
  </si>
  <si>
    <t>DCSPE</t>
  </si>
  <si>
    <t>DCLIA</t>
  </si>
  <si>
    <t>DCFRO</t>
  </si>
  <si>
    <t>LOB</t>
  </si>
  <si>
    <t>Mean</t>
  </si>
  <si>
    <t>Standard 
Deviation</t>
  </si>
  <si>
    <t>Variance</t>
  </si>
  <si>
    <t>ENOTH</t>
  </si>
  <si>
    <t>TRADX</t>
  </si>
  <si>
    <t>Lob</t>
  </si>
  <si>
    <t>earned %</t>
  </si>
  <si>
    <t>Earned MBE reserves</t>
  </si>
  <si>
    <t>IBNR GULR MBE</t>
  </si>
  <si>
    <t>Earned Stat reserves</t>
  </si>
  <si>
    <t>IBNR GULR Stat</t>
  </si>
  <si>
    <t>Std deviation</t>
  </si>
  <si>
    <t>Std deviation floor</t>
  </si>
  <si>
    <t>Std deviation ceiling</t>
  </si>
  <si>
    <t>Min Std Dev</t>
  </si>
  <si>
    <t>Max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</si>
</sst>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,,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b/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A5002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500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ashed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5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5" fillId="3" borderId="16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0" xfId="0" applyFont="1"/>
    <xf numFmtId="0" fontId="6" fillId="0" borderId="19" xfId="0" applyFont="1" applyBorder="1"/>
    <xf numFmtId="0" fontId="6" fillId="0" borderId="21" xfId="0" applyFont="1" applyBorder="1"/>
    <xf numFmtId="0" fontId="7" fillId="5" borderId="13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0" xfId="0" applyNumberFormat="1" applyFont="1" applyAlignment="1">
      <alignment horizontal="right" vertical="center" indent="1"/>
    </xf>
    <xf numFmtId="9" fontId="10" fillId="0" borderId="10" xfId="1" applyFont="1" applyFill="1" applyBorder="1" applyAlignment="1">
      <alignment horizontal="right" vertical="center" indent="1"/>
    </xf>
    <xf numFmtId="9" fontId="0" fillId="0" borderId="0" xfId="1" applyFont="1"/>
    <xf numFmtId="9" fontId="0" fillId="0" borderId="0" xfId="0" applyNumberFormat="1"/>
    <xf numFmtId="164" fontId="9" fillId="0" borderId="22" xfId="0" applyNumberFormat="1" applyFont="1" applyBorder="1" applyAlignment="1">
      <alignment horizontal="right" vertical="center" indent="1"/>
    </xf>
    <xf numFmtId="164" fontId="10" fillId="0" borderId="0" xfId="0" applyNumberFormat="1" applyFont="1" applyAlignment="1">
      <alignment horizontal="right" vertical="center" indent="1"/>
    </xf>
    <xf numFmtId="0" fontId="7" fillId="5" borderId="1" xfId="0" applyFont="1" applyFill="1" applyBorder="1" applyAlignment="1">
      <alignment horizontal="center" vertical="center" wrapText="1"/>
    </xf>
    <xf numFmtId="9" fontId="1" fillId="2" borderId="0" xfId="2" applyNumberFormat="1"/>
    <xf numFmtId="164" fontId="1" fillId="2" borderId="7" xfId="2" applyNumberFormat="1" applyBorder="1" applyAlignment="1">
      <alignment horizontal="right" vertical="center" indent="1"/>
    </xf>
    <xf numFmtId="164" fontId="1" fillId="2" borderId="8" xfId="2" applyNumberFormat="1" applyBorder="1" applyAlignment="1">
      <alignment horizontal="right" vertical="center" indent="1"/>
    </xf>
    <xf numFmtId="164" fontId="1" fillId="2" borderId="9" xfId="2" applyNumberFormat="1" applyBorder="1" applyAlignment="1">
      <alignment horizontal="right" vertical="center" indent="1"/>
    </xf>
    <xf numFmtId="164" fontId="1" fillId="2" borderId="0" xfId="2" applyNumberFormat="1" applyAlignment="1">
      <alignment horizontal="right" vertical="center" indent="1"/>
    </xf>
    <xf numFmtId="164" fontId="1" fillId="2" borderId="10" xfId="2" applyNumberFormat="1" applyBorder="1" applyAlignment="1">
      <alignment horizontal="right" vertical="center" indent="1"/>
    </xf>
    <xf numFmtId="164" fontId="1" fillId="2" borderId="11" xfId="2" applyNumberFormat="1" applyBorder="1" applyAlignment="1">
      <alignment horizontal="right" vertical="center" indent="1"/>
    </xf>
    <xf numFmtId="9" fontId="1" fillId="2" borderId="10" xfId="2" applyNumberFormat="1" applyBorder="1" applyAlignment="1">
      <alignment horizontal="right" vertical="center" indent="1"/>
    </xf>
    <xf numFmtId="165" fontId="1" fillId="2" borderId="14" xfId="2" applyNumberFormat="1" applyBorder="1" applyAlignment="1"/>
    <xf numFmtId="9" fontId="1" fillId="2" borderId="14" xfId="2" applyNumberFormat="1" applyBorder="1" applyAlignment="1"/>
    <xf numFmtId="9" fontId="1" fillId="2" borderId="15" xfId="2" applyNumberFormat="1" applyBorder="1" applyAlignment="1"/>
    <xf numFmtId="165" fontId="1" fillId="2" borderId="0" xfId="2" applyNumberFormat="1" applyBorder="1" applyAlignment="1"/>
    <xf numFmtId="9" fontId="1" fillId="2" borderId="0" xfId="2" applyNumberFormat="1" applyBorder="1" applyAlignment="1"/>
    <xf numFmtId="9" fontId="1" fillId="2" borderId="10" xfId="2" applyNumberFormat="1" applyBorder="1" applyAlignment="1"/>
    <xf numFmtId="165" fontId="1" fillId="2" borderId="19" xfId="2" applyNumberFormat="1" applyBorder="1" applyAlignment="1"/>
    <xf numFmtId="9" fontId="1" fillId="2" borderId="19" xfId="2" applyNumberFormat="1" applyBorder="1" applyAlignment="1"/>
    <xf numFmtId="9" fontId="1" fillId="2" borderId="20" xfId="2" applyNumberFormat="1" applyBorder="1" applyAlignment="1"/>
    <xf numFmtId="9" fontId="1" fillId="2" borderId="10" xfId="2" applyNumberFormat="1" applyBorder="1"/>
    <xf numFmtId="9" fontId="1" fillId="2" borderId="20" xfId="2" applyNumberFormat="1" applyBorder="1"/>
  </cellXfs>
  <cellStyles count="3">
    <cellStyle name="20% - Accent2" xfId="2" builtinId="3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69A3-4DAA-429A-94C5-0B53EBDCE30D}">
  <dimension ref="A1:C20"/>
  <sheetViews>
    <sheetView workbookViewId="0">
      <selection activeCell="T13" sqref="T13"/>
    </sheetView>
  </sheetViews>
  <sheetFormatPr defaultRowHeight="14.4" x14ac:dyDescent="0.3"/>
  <sheetData>
    <row r="1" spans="1:3" x14ac:dyDescent="0.3">
      <c r="A1" t="s">
        <v>12</v>
      </c>
      <c r="C1">
        <v>2017</v>
      </c>
    </row>
    <row r="2" spans="1:3" x14ac:dyDescent="0.3">
      <c r="A2" t="s">
        <v>13</v>
      </c>
      <c r="C2">
        <v>2018</v>
      </c>
    </row>
    <row r="3" spans="1:3" x14ac:dyDescent="0.3">
      <c r="A3" t="s">
        <v>14</v>
      </c>
      <c r="C3">
        <v>2019</v>
      </c>
    </row>
    <row r="4" spans="1:3" x14ac:dyDescent="0.3">
      <c r="A4" t="s">
        <v>15</v>
      </c>
      <c r="C4">
        <v>2020</v>
      </c>
    </row>
    <row r="5" spans="1:3" x14ac:dyDescent="0.3">
      <c r="A5" t="s">
        <v>16</v>
      </c>
      <c r="C5">
        <v>2021</v>
      </c>
    </row>
    <row r="6" spans="1:3" x14ac:dyDescent="0.3">
      <c r="A6" t="s">
        <v>17</v>
      </c>
      <c r="C6">
        <v>2022</v>
      </c>
    </row>
    <row r="7" spans="1:3" x14ac:dyDescent="0.3">
      <c r="A7" t="s">
        <v>18</v>
      </c>
      <c r="C7">
        <v>2023</v>
      </c>
    </row>
    <row r="8" spans="1:3" x14ac:dyDescent="0.3">
      <c r="A8" t="s">
        <v>19</v>
      </c>
      <c r="C8">
        <v>2024</v>
      </c>
    </row>
    <row r="9" spans="1:3" x14ac:dyDescent="0.3">
      <c r="A9" t="s">
        <v>20</v>
      </c>
      <c r="C9">
        <v>2025</v>
      </c>
    </row>
    <row r="10" spans="1:3" x14ac:dyDescent="0.3">
      <c r="A10" t="s">
        <v>21</v>
      </c>
      <c r="C10">
        <v>2026</v>
      </c>
    </row>
    <row r="11" spans="1:3" x14ac:dyDescent="0.3">
      <c r="A11" t="s">
        <v>22</v>
      </c>
    </row>
    <row r="12" spans="1:3" x14ac:dyDescent="0.3">
      <c r="A12" t="s">
        <v>23</v>
      </c>
    </row>
    <row r="13" spans="1:3" x14ac:dyDescent="0.3">
      <c r="A13" t="s">
        <v>24</v>
      </c>
    </row>
    <row r="14" spans="1:3" x14ac:dyDescent="0.3">
      <c r="A14" t="s">
        <v>25</v>
      </c>
    </row>
    <row r="15" spans="1:3" x14ac:dyDescent="0.3">
      <c r="A15" t="s">
        <v>26</v>
      </c>
    </row>
    <row r="16" spans="1:3" x14ac:dyDescent="0.3">
      <c r="A16" t="s">
        <v>27</v>
      </c>
    </row>
    <row r="17" spans="1:1" x14ac:dyDescent="0.3">
      <c r="A17" t="s">
        <v>28</v>
      </c>
    </row>
    <row r="18" spans="1:1" x14ac:dyDescent="0.3">
      <c r="A18" t="s">
        <v>29</v>
      </c>
    </row>
    <row r="19" spans="1:1" x14ac:dyDescent="0.3">
      <c r="A19" t="s">
        <v>30</v>
      </c>
    </row>
    <row r="20" spans="1:1" x14ac:dyDescent="0.3">
      <c r="A2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1"/>
  <sheetViews>
    <sheetView showGridLines="0" tabSelected="1" workbookViewId="0">
      <selection activeCell="D12" sqref="D12"/>
    </sheetView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P1" s="8" t="s">
        <v>32</v>
      </c>
      <c r="Q1" s="9" t="s">
        <v>33</v>
      </c>
      <c r="R1" s="10" t="s">
        <v>34</v>
      </c>
      <c r="S1" s="11" t="s">
        <v>35</v>
      </c>
      <c r="V1" s="15" t="s">
        <v>38</v>
      </c>
      <c r="W1" s="9" t="s">
        <v>0</v>
      </c>
      <c r="X1" s="11" t="s">
        <v>39</v>
      </c>
    </row>
    <row r="2" spans="1:24" x14ac:dyDescent="0.3">
      <c r="A2" s="7">
        <v>2017</v>
      </c>
      <c r="B2" s="7" t="s">
        <v>12</v>
      </c>
      <c r="C2" s="33">
        <v>14295848.659999998</v>
      </c>
      <c r="D2" s="34">
        <v>1.0316866470018948E-2</v>
      </c>
      <c r="E2" s="35">
        <v>6085299.3321911255</v>
      </c>
      <c r="F2" s="34">
        <v>0</v>
      </c>
      <c r="G2" s="36">
        <v>0</v>
      </c>
      <c r="H2" s="37">
        <v>0</v>
      </c>
      <c r="I2" s="38">
        <v>1.0316866470018948E-2</v>
      </c>
      <c r="J2" s="39">
        <v>0.42566898103908202</v>
      </c>
      <c r="K2" s="38">
        <v>1.0316866470018948E-2</v>
      </c>
      <c r="L2" s="39">
        <v>0.42566898103908202</v>
      </c>
      <c r="P2" s="12" t="s">
        <v>12</v>
      </c>
      <c r="Q2" s="40">
        <v>0.60871448828006391</v>
      </c>
      <c r="R2" s="41">
        <v>0.58721465294076303</v>
      </c>
      <c r="S2" s="42">
        <v>0.34482104862834073</v>
      </c>
      <c r="V2" s="16" t="s">
        <v>12</v>
      </c>
      <c r="W2" s="17">
        <v>2017</v>
      </c>
      <c r="X2" s="49">
        <v>1</v>
      </c>
    </row>
    <row r="3" spans="1:24" x14ac:dyDescent="0.3">
      <c r="A3" s="7">
        <v>2018</v>
      </c>
      <c r="B3" s="7" t="s">
        <v>12</v>
      </c>
      <c r="C3" s="33">
        <v>18347205.050000001</v>
      </c>
      <c r="D3" s="34">
        <v>67897.803289716336</v>
      </c>
      <c r="E3" s="35">
        <v>2134139.2183901663</v>
      </c>
      <c r="F3" s="34">
        <v>0</v>
      </c>
      <c r="G3" s="36">
        <v>285.68911567761535</v>
      </c>
      <c r="H3" s="37">
        <v>345.4616561891454</v>
      </c>
      <c r="I3" s="38">
        <v>68183.492405393947</v>
      </c>
      <c r="J3" s="39">
        <v>0.11633515304860255</v>
      </c>
      <c r="K3" s="38">
        <v>68243.264945905481</v>
      </c>
      <c r="L3" s="39">
        <v>0.11633841090397337</v>
      </c>
      <c r="P3" s="13" t="s">
        <v>13</v>
      </c>
      <c r="Q3" s="43">
        <v>0.81940654910793043</v>
      </c>
      <c r="R3" s="44">
        <v>0.88713446585167077</v>
      </c>
      <c r="S3" s="45">
        <v>0.78700756050192922</v>
      </c>
      <c r="V3" s="16" t="s">
        <v>12</v>
      </c>
      <c r="W3" s="17">
        <v>2018</v>
      </c>
      <c r="X3" s="49">
        <v>1</v>
      </c>
    </row>
    <row r="4" spans="1:24" x14ac:dyDescent="0.3">
      <c r="A4" s="7">
        <v>2019</v>
      </c>
      <c r="B4" s="7" t="s">
        <v>12</v>
      </c>
      <c r="C4" s="33">
        <v>25228663.529999997</v>
      </c>
      <c r="D4" s="34">
        <v>216024.18805441185</v>
      </c>
      <c r="E4" s="35">
        <v>10167925.428158972</v>
      </c>
      <c r="F4" s="34">
        <v>0</v>
      </c>
      <c r="G4" s="36">
        <v>7779.5695103683074</v>
      </c>
      <c r="H4" s="37">
        <v>9407.2291172729201</v>
      </c>
      <c r="I4" s="38">
        <v>223803.75756478016</v>
      </c>
      <c r="J4" s="39">
        <v>0.40333904273483101</v>
      </c>
      <c r="K4" s="38">
        <v>225431.41717168476</v>
      </c>
      <c r="L4" s="39">
        <v>0.40340355901826264</v>
      </c>
      <c r="P4" s="13" t="s">
        <v>14</v>
      </c>
      <c r="Q4" s="43">
        <v>0.51377320524528503</v>
      </c>
      <c r="R4" s="44">
        <v>0.19225974495022052</v>
      </c>
      <c r="S4" s="45">
        <v>3.6963809528323843E-2</v>
      </c>
      <c r="V4" s="16" t="s">
        <v>12</v>
      </c>
      <c r="W4" s="17">
        <v>2019</v>
      </c>
      <c r="X4" s="49">
        <v>1</v>
      </c>
    </row>
    <row r="5" spans="1:24" x14ac:dyDescent="0.3">
      <c r="A5" s="7">
        <v>2020</v>
      </c>
      <c r="B5" s="7" t="s">
        <v>12</v>
      </c>
      <c r="C5" s="33">
        <v>29757692.529999994</v>
      </c>
      <c r="D5" s="34">
        <v>163407.41452592189</v>
      </c>
      <c r="E5" s="35">
        <v>1735608.3913557418</v>
      </c>
      <c r="F5" s="34">
        <v>1235000</v>
      </c>
      <c r="G5" s="36">
        <v>43372.969500587511</v>
      </c>
      <c r="H5" s="37">
        <v>52447.56294608907</v>
      </c>
      <c r="I5" s="38">
        <v>1441780.3840265095</v>
      </c>
      <c r="J5" s="39">
        <v>0.10128410856513173</v>
      </c>
      <c r="K5" s="38">
        <v>1450854.977472011</v>
      </c>
      <c r="L5" s="39">
        <v>0.10158905806470578</v>
      </c>
      <c r="P5" s="13" t="s">
        <v>36</v>
      </c>
      <c r="Q5" s="43">
        <v>0</v>
      </c>
      <c r="R5" s="44">
        <v>0</v>
      </c>
      <c r="S5" s="45">
        <v>0</v>
      </c>
      <c r="V5" s="16" t="s">
        <v>12</v>
      </c>
      <c r="W5" s="17">
        <v>2020</v>
      </c>
      <c r="X5" s="49">
        <v>0.9993856243072301</v>
      </c>
    </row>
    <row r="6" spans="1:24" x14ac:dyDescent="0.3">
      <c r="A6" s="7">
        <v>2021</v>
      </c>
      <c r="B6" s="7" t="s">
        <v>12</v>
      </c>
      <c r="C6" s="33">
        <v>30837894.769999996</v>
      </c>
      <c r="D6" s="34">
        <v>1013052.4493230828</v>
      </c>
      <c r="E6" s="35">
        <v>17106091.568375863</v>
      </c>
      <c r="F6" s="34">
        <v>0</v>
      </c>
      <c r="G6" s="36">
        <v>67089.717001523328</v>
      </c>
      <c r="H6" s="37">
        <v>81126.383459288714</v>
      </c>
      <c r="I6" s="38">
        <v>1080142.1663246062</v>
      </c>
      <c r="J6" s="39">
        <v>0.55688565686669245</v>
      </c>
      <c r="K6" s="38">
        <v>1094178.8327823714</v>
      </c>
      <c r="L6" s="39">
        <v>0.55734083276512703</v>
      </c>
      <c r="P6" s="13" t="s">
        <v>15</v>
      </c>
      <c r="Q6" s="43">
        <v>0.55000000000000004</v>
      </c>
      <c r="R6" s="44">
        <v>0.58721465294076303</v>
      </c>
      <c r="S6" s="45">
        <v>0.34482104862834073</v>
      </c>
      <c r="V6" s="16" t="s">
        <v>12</v>
      </c>
      <c r="W6" s="17">
        <v>2021</v>
      </c>
      <c r="X6" s="49">
        <v>1</v>
      </c>
    </row>
    <row r="7" spans="1:24" x14ac:dyDescent="0.3">
      <c r="A7" s="7">
        <v>2022</v>
      </c>
      <c r="B7" s="7" t="s">
        <v>12</v>
      </c>
      <c r="C7" s="33">
        <v>24534757.476926316</v>
      </c>
      <c r="D7" s="34">
        <v>556347.08747903828</v>
      </c>
      <c r="E7" s="35">
        <v>1423093.2469154084</v>
      </c>
      <c r="F7" s="34">
        <v>0</v>
      </c>
      <c r="G7" s="36">
        <v>3871960.599560135</v>
      </c>
      <c r="H7" s="37">
        <v>4682061.1917626755</v>
      </c>
      <c r="I7" s="38">
        <v>4428307.6870391732</v>
      </c>
      <c r="J7" s="39">
        <v>0.21581847105907898</v>
      </c>
      <c r="K7" s="38">
        <v>5238408.2792417137</v>
      </c>
      <c r="L7" s="39">
        <v>0.24883695893141269</v>
      </c>
      <c r="P7" s="13" t="s">
        <v>16</v>
      </c>
      <c r="Q7" s="43">
        <v>0.60871448828006391</v>
      </c>
      <c r="R7" s="44">
        <v>0.58721465294076303</v>
      </c>
      <c r="S7" s="45">
        <v>0.34482104862834073</v>
      </c>
      <c r="V7" s="16" t="s">
        <v>12</v>
      </c>
      <c r="W7" s="17">
        <v>2022</v>
      </c>
      <c r="X7" s="49">
        <v>0.99963124955912741</v>
      </c>
    </row>
    <row r="8" spans="1:24" x14ac:dyDescent="0.3">
      <c r="A8" s="7">
        <v>2023</v>
      </c>
      <c r="B8" s="7" t="s">
        <v>12</v>
      </c>
      <c r="C8" s="33">
        <v>22696899.707364652</v>
      </c>
      <c r="D8" s="34">
        <v>5484099.4422977045</v>
      </c>
      <c r="E8" s="35">
        <v>30451978.719811585</v>
      </c>
      <c r="F8" s="34">
        <v>0</v>
      </c>
      <c r="G8" s="36">
        <v>2705704.6381968632</v>
      </c>
      <c r="H8" s="37">
        <v>3271798.4486497501</v>
      </c>
      <c r="I8" s="38">
        <v>8189804.0804945678</v>
      </c>
      <c r="J8" s="39">
        <v>1.4608904205207154</v>
      </c>
      <c r="K8" s="38">
        <v>8755897.8909474537</v>
      </c>
      <c r="L8" s="39">
        <v>1.4858318802685946</v>
      </c>
      <c r="P8" s="13" t="s">
        <v>17</v>
      </c>
      <c r="Q8" s="43">
        <v>0.60871448828006391</v>
      </c>
      <c r="R8" s="44">
        <v>0.58721465294076303</v>
      </c>
      <c r="S8" s="45">
        <v>0.34482104862834073</v>
      </c>
      <c r="V8" s="16" t="s">
        <v>12</v>
      </c>
      <c r="W8" s="17">
        <v>2023</v>
      </c>
      <c r="X8" s="49">
        <v>0.99924359320584788</v>
      </c>
    </row>
    <row r="9" spans="1:24" x14ac:dyDescent="0.3">
      <c r="A9" s="7">
        <v>2024</v>
      </c>
      <c r="B9" s="7" t="s">
        <v>12</v>
      </c>
      <c r="C9" s="33">
        <v>31596640.992098548</v>
      </c>
      <c r="D9" s="34">
        <v>1882530.6336029898</v>
      </c>
      <c r="E9" s="35">
        <v>2189925.5398650398</v>
      </c>
      <c r="F9" s="34">
        <v>0</v>
      </c>
      <c r="G9" s="36">
        <v>8868898.807369452</v>
      </c>
      <c r="H9" s="37">
        <v>10765383.899057582</v>
      </c>
      <c r="I9" s="38">
        <v>10751429.440972442</v>
      </c>
      <c r="J9" s="39">
        <v>0.35</v>
      </c>
      <c r="K9" s="38">
        <v>12647914.532660572</v>
      </c>
      <c r="L9" s="39">
        <v>0.41002173117586738</v>
      </c>
      <c r="P9" s="13" t="s">
        <v>18</v>
      </c>
      <c r="Q9" s="43">
        <v>0.60871448828006391</v>
      </c>
      <c r="R9" s="44">
        <v>0.58721465294076303</v>
      </c>
      <c r="S9" s="45">
        <v>0.34482104862834073</v>
      </c>
      <c r="V9" s="16" t="s">
        <v>12</v>
      </c>
      <c r="W9" s="17">
        <v>2024</v>
      </c>
      <c r="X9" s="49">
        <v>0.99873627958787758</v>
      </c>
    </row>
    <row r="10" spans="1:24" x14ac:dyDescent="0.3">
      <c r="A10" s="7">
        <v>2025</v>
      </c>
      <c r="B10" s="7" t="s">
        <v>12</v>
      </c>
      <c r="C10" s="33">
        <v>23398456.644641306</v>
      </c>
      <c r="D10" s="34">
        <v>1009565.5292341976</v>
      </c>
      <c r="E10" s="35">
        <v>1094000.3520194276</v>
      </c>
      <c r="F10" s="34">
        <v>35000000</v>
      </c>
      <c r="G10" s="36">
        <v>11404866.636602417</v>
      </c>
      <c r="H10" s="37">
        <v>13998218.859851874</v>
      </c>
      <c r="I10" s="38">
        <v>47414432.165836617</v>
      </c>
      <c r="J10" s="39">
        <v>2.0299999999999998</v>
      </c>
      <c r="K10" s="38">
        <v>50007784.389086075</v>
      </c>
      <c r="L10" s="39">
        <v>2.1408343282052913</v>
      </c>
      <c r="P10" s="13" t="s">
        <v>37</v>
      </c>
      <c r="Q10" s="43">
        <v>0</v>
      </c>
      <c r="R10" s="44">
        <v>0</v>
      </c>
      <c r="S10" s="45">
        <v>0</v>
      </c>
      <c r="V10" s="16" t="s">
        <v>12</v>
      </c>
      <c r="W10" s="17">
        <v>2025</v>
      </c>
      <c r="X10" s="49">
        <v>0.9125555386152493</v>
      </c>
    </row>
    <row r="11" spans="1:24" x14ac:dyDescent="0.3">
      <c r="A11" s="7">
        <v>2026</v>
      </c>
      <c r="B11" s="7" t="s">
        <v>12</v>
      </c>
      <c r="C11" s="33">
        <v>21346503.22697309</v>
      </c>
      <c r="D11" s="34">
        <v>1</v>
      </c>
      <c r="E11" s="35">
        <v>1</v>
      </c>
      <c r="F11" s="34">
        <v>0</v>
      </c>
      <c r="G11" s="36">
        <v>11740575.774835201</v>
      </c>
      <c r="H11" s="37">
        <v>14574065.803231632</v>
      </c>
      <c r="I11" s="38">
        <v>11740576.774835201</v>
      </c>
      <c r="J11" s="39">
        <v>0.55000000000000004</v>
      </c>
      <c r="K11" s="38">
        <v>14574066.803231632</v>
      </c>
      <c r="L11" s="39">
        <v>0.68273790082940056</v>
      </c>
      <c r="P11" s="13" t="s">
        <v>23</v>
      </c>
      <c r="Q11" s="43">
        <v>0.51165296258814885</v>
      </c>
      <c r="R11" s="44">
        <v>0.24754336202207816</v>
      </c>
      <c r="S11" s="45">
        <v>6.1277716081193645E-2</v>
      </c>
      <c r="V11" s="16" t="s">
        <v>12</v>
      </c>
      <c r="W11" s="17">
        <v>2026</v>
      </c>
      <c r="X11" s="49">
        <v>0.13625579343150188</v>
      </c>
    </row>
    <row r="12" spans="1:24" x14ac:dyDescent="0.3">
      <c r="A12" s="7">
        <v>2017</v>
      </c>
      <c r="B12" s="7" t="s">
        <v>13</v>
      </c>
      <c r="C12" s="33">
        <v>10862725.429999998</v>
      </c>
      <c r="D12" s="34">
        <v>78439.562277500285</v>
      </c>
      <c r="E12" s="35">
        <v>37904592.868636146</v>
      </c>
      <c r="F12" s="34">
        <v>0</v>
      </c>
      <c r="G12" s="36">
        <v>0</v>
      </c>
      <c r="H12" s="37">
        <v>0</v>
      </c>
      <c r="I12" s="38">
        <v>78439.562277500285</v>
      </c>
      <c r="J12" s="39">
        <v>3.4894182968073193</v>
      </c>
      <c r="K12" s="38">
        <v>78439.562277500285</v>
      </c>
      <c r="L12" s="39">
        <v>3.4894182968073193</v>
      </c>
      <c r="P12" s="13" t="s">
        <v>19</v>
      </c>
      <c r="Q12" s="43">
        <v>0.8326853448817042</v>
      </c>
      <c r="R12" s="44">
        <v>0.10425752582020896</v>
      </c>
      <c r="S12" s="45">
        <v>1.0869631690151538E-2</v>
      </c>
      <c r="V12" s="16" t="s">
        <v>13</v>
      </c>
      <c r="W12" s="17">
        <v>2017</v>
      </c>
      <c r="X12" s="49">
        <v>1</v>
      </c>
    </row>
    <row r="13" spans="1:24" x14ac:dyDescent="0.3">
      <c r="A13" s="7">
        <v>2018</v>
      </c>
      <c r="B13" s="7" t="s">
        <v>13</v>
      </c>
      <c r="C13" s="33">
        <v>9511319.1099999994</v>
      </c>
      <c r="D13" s="34">
        <v>6485.700249449721</v>
      </c>
      <c r="E13" s="35">
        <v>3520913.9465302499</v>
      </c>
      <c r="F13" s="34">
        <v>0</v>
      </c>
      <c r="G13" s="36">
        <v>0</v>
      </c>
      <c r="H13" s="37">
        <v>0</v>
      </c>
      <c r="I13" s="38">
        <v>6485.700249449721</v>
      </c>
      <c r="J13" s="39">
        <v>0.3701814549391404</v>
      </c>
      <c r="K13" s="38">
        <v>6485.700249449721</v>
      </c>
      <c r="L13" s="39">
        <v>0.3701814549391404</v>
      </c>
      <c r="P13" s="13" t="s">
        <v>20</v>
      </c>
      <c r="Q13" s="43">
        <v>0.81723996795660536</v>
      </c>
      <c r="R13" s="44">
        <v>0.11594985334627081</v>
      </c>
      <c r="S13" s="45">
        <v>1.3444368491021708E-2</v>
      </c>
      <c r="V13" s="16" t="s">
        <v>13</v>
      </c>
      <c r="W13" s="17">
        <v>2018</v>
      </c>
      <c r="X13" s="49">
        <v>1</v>
      </c>
    </row>
    <row r="14" spans="1:24" x14ac:dyDescent="0.3">
      <c r="A14" s="7">
        <v>2019</v>
      </c>
      <c r="B14" s="7" t="s">
        <v>13</v>
      </c>
      <c r="C14" s="33">
        <v>25653509.359999996</v>
      </c>
      <c r="D14" s="34">
        <v>680707.67317104805</v>
      </c>
      <c r="E14" s="35">
        <v>20419709.065278687</v>
      </c>
      <c r="F14" s="34">
        <v>0</v>
      </c>
      <c r="G14" s="36">
        <v>0</v>
      </c>
      <c r="H14" s="37">
        <v>0</v>
      </c>
      <c r="I14" s="38">
        <v>680707.67317104805</v>
      </c>
      <c r="J14" s="39">
        <v>0.79598111816693329</v>
      </c>
      <c r="K14" s="38">
        <v>680707.67317104805</v>
      </c>
      <c r="L14" s="39">
        <v>0.79598111816693329</v>
      </c>
      <c r="P14" s="13" t="s">
        <v>21</v>
      </c>
      <c r="Q14" s="43">
        <v>0.64146460846789355</v>
      </c>
      <c r="R14" s="44">
        <v>3.6557763846887248E-2</v>
      </c>
      <c r="S14" s="45">
        <v>1.3364700974847765E-3</v>
      </c>
      <c r="V14" s="16" t="s">
        <v>13</v>
      </c>
      <c r="W14" s="17">
        <v>2019</v>
      </c>
      <c r="X14" s="49">
        <v>1</v>
      </c>
    </row>
    <row r="15" spans="1:24" x14ac:dyDescent="0.3">
      <c r="A15" s="7">
        <v>2020</v>
      </c>
      <c r="B15" s="7" t="s">
        <v>13</v>
      </c>
      <c r="C15" s="33">
        <v>42145403.289999992</v>
      </c>
      <c r="D15" s="34">
        <v>409097.74454991124</v>
      </c>
      <c r="E15" s="35">
        <v>4893504.1065881113</v>
      </c>
      <c r="F15" s="34">
        <v>1950000</v>
      </c>
      <c r="G15" s="36">
        <v>102108.37871995814</v>
      </c>
      <c r="H15" s="37">
        <v>124298.71061569314</v>
      </c>
      <c r="I15" s="38">
        <v>2461206.1232698695</v>
      </c>
      <c r="J15" s="39">
        <v>0.16480118691748485</v>
      </c>
      <c r="K15" s="38">
        <v>2483396.4551656046</v>
      </c>
      <c r="L15" s="39">
        <v>0.165327705355167</v>
      </c>
      <c r="P15" s="13" t="s">
        <v>22</v>
      </c>
      <c r="Q15" s="43">
        <v>0.67992940867838003</v>
      </c>
      <c r="R15" s="44">
        <v>0.10307119091192711</v>
      </c>
      <c r="S15" s="45">
        <v>1.0623670396002927E-2</v>
      </c>
      <c r="V15" s="16" t="s">
        <v>13</v>
      </c>
      <c r="W15" s="17">
        <v>2020</v>
      </c>
      <c r="X15" s="49">
        <v>1</v>
      </c>
    </row>
    <row r="16" spans="1:24" x14ac:dyDescent="0.3">
      <c r="A16" s="7">
        <v>2021</v>
      </c>
      <c r="B16" s="7" t="s">
        <v>13</v>
      </c>
      <c r="C16" s="33">
        <v>33927693.430000007</v>
      </c>
      <c r="D16" s="34">
        <v>125351.0091756672</v>
      </c>
      <c r="E16" s="35">
        <v>5585392.5101576671</v>
      </c>
      <c r="F16" s="34">
        <v>0</v>
      </c>
      <c r="G16" s="36">
        <v>619350.02972292714</v>
      </c>
      <c r="H16" s="37">
        <v>753948.02149868687</v>
      </c>
      <c r="I16" s="38">
        <v>744701.03889859433</v>
      </c>
      <c r="J16" s="39">
        <v>0.18288135480480827</v>
      </c>
      <c r="K16" s="38">
        <v>879299.03067435406</v>
      </c>
      <c r="L16" s="39">
        <v>0.18684855617243037</v>
      </c>
      <c r="P16" s="13" t="s">
        <v>24</v>
      </c>
      <c r="Q16" s="43">
        <v>0.4365565524761762</v>
      </c>
      <c r="R16" s="44">
        <v>0.13078342136593127</v>
      </c>
      <c r="S16" s="45">
        <v>1.7104303304178725E-2</v>
      </c>
      <c r="V16" s="16" t="s">
        <v>13</v>
      </c>
      <c r="W16" s="17">
        <v>2021</v>
      </c>
      <c r="X16" s="49">
        <v>1</v>
      </c>
    </row>
    <row r="17" spans="1:24" x14ac:dyDescent="0.3">
      <c r="A17" s="7">
        <v>2022</v>
      </c>
      <c r="B17" s="7" t="s">
        <v>13</v>
      </c>
      <c r="C17" s="33">
        <v>35529732.539999984</v>
      </c>
      <c r="D17" s="34">
        <v>124721.17571509851</v>
      </c>
      <c r="E17" s="35">
        <v>3469869.6141268392</v>
      </c>
      <c r="F17" s="34">
        <v>0</v>
      </c>
      <c r="G17" s="36">
        <v>2608515.5312819309</v>
      </c>
      <c r="H17" s="37">
        <v>3175401.6783343432</v>
      </c>
      <c r="I17" s="38">
        <v>2733236.7069970295</v>
      </c>
      <c r="J17" s="39">
        <v>0.17107883203358257</v>
      </c>
      <c r="K17" s="38">
        <v>3300122.8540494419</v>
      </c>
      <c r="L17" s="39">
        <v>0.1870340927835531</v>
      </c>
      <c r="P17" s="13" t="s">
        <v>25</v>
      </c>
      <c r="Q17" s="43">
        <v>3.8764797296626914</v>
      </c>
      <c r="R17" s="44">
        <v>1.133961395223277</v>
      </c>
      <c r="S17" s="45">
        <v>1.2858684458567211</v>
      </c>
      <c r="V17" s="16" t="s">
        <v>13</v>
      </c>
      <c r="W17" s="17">
        <v>2022</v>
      </c>
      <c r="X17" s="49">
        <v>1</v>
      </c>
    </row>
    <row r="18" spans="1:24" x14ac:dyDescent="0.3">
      <c r="A18" s="7">
        <v>2023</v>
      </c>
      <c r="B18" s="7" t="s">
        <v>13</v>
      </c>
      <c r="C18" s="33">
        <v>43807796.542533316</v>
      </c>
      <c r="D18" s="34">
        <v>1038339.3213394493</v>
      </c>
      <c r="E18" s="35">
        <v>6077389.2468941184</v>
      </c>
      <c r="F18" s="34">
        <v>0</v>
      </c>
      <c r="G18" s="36">
        <v>4524097.516398943</v>
      </c>
      <c r="H18" s="37">
        <v>5536404.6419237349</v>
      </c>
      <c r="I18" s="38">
        <v>5562436.8377383919</v>
      </c>
      <c r="J18" s="39">
        <v>0.24199999999999997</v>
      </c>
      <c r="K18" s="38">
        <v>6574743.9632631838</v>
      </c>
      <c r="L18" s="39">
        <v>0.26510792154410084</v>
      </c>
      <c r="P18" s="13" t="s">
        <v>26</v>
      </c>
      <c r="Q18" s="43">
        <v>0.70392573348719778</v>
      </c>
      <c r="R18" s="44">
        <v>0.7298328146198968</v>
      </c>
      <c r="S18" s="45">
        <v>0.53265593729600058</v>
      </c>
      <c r="V18" s="16" t="s">
        <v>13</v>
      </c>
      <c r="W18" s="17">
        <v>2023</v>
      </c>
      <c r="X18" s="49">
        <v>1</v>
      </c>
    </row>
    <row r="19" spans="1:24" x14ac:dyDescent="0.3">
      <c r="A19" s="7">
        <v>2024</v>
      </c>
      <c r="B19" s="7" t="s">
        <v>13</v>
      </c>
      <c r="C19" s="33">
        <v>33668763.913859718</v>
      </c>
      <c r="D19" s="34">
        <v>14468832.039515913</v>
      </c>
      <c r="E19" s="35">
        <v>56672603.171084888</v>
      </c>
      <c r="F19" s="34">
        <v>0</v>
      </c>
      <c r="G19" s="36">
        <v>4604547.1521397978</v>
      </c>
      <c r="H19" s="37">
        <v>5673597.4216003548</v>
      </c>
      <c r="I19" s="38">
        <v>19073379.19165571</v>
      </c>
      <c r="J19" s="39">
        <v>1.82</v>
      </c>
      <c r="K19" s="38">
        <v>20142429.461116269</v>
      </c>
      <c r="L19" s="39">
        <v>1.8517519904263693</v>
      </c>
      <c r="P19" s="13" t="s">
        <v>27</v>
      </c>
      <c r="Q19" s="43">
        <v>0.72561625108864303</v>
      </c>
      <c r="R19" s="44">
        <v>1.3542541829797072</v>
      </c>
      <c r="S19" s="45">
        <v>1.8340043921180342</v>
      </c>
      <c r="V19" s="16" t="s">
        <v>13</v>
      </c>
      <c r="W19" s="17">
        <v>2024</v>
      </c>
      <c r="X19" s="49">
        <v>1</v>
      </c>
    </row>
    <row r="20" spans="1:24" x14ac:dyDescent="0.3">
      <c r="A20" s="7">
        <v>2025</v>
      </c>
      <c r="B20" s="7" t="s">
        <v>13</v>
      </c>
      <c r="C20" s="33">
        <v>37202468.89385163</v>
      </c>
      <c r="D20" s="34">
        <v>58260799.206556991</v>
      </c>
      <c r="E20" s="35">
        <v>58454960.579437822</v>
      </c>
      <c r="F20" s="34">
        <v>0</v>
      </c>
      <c r="G20" s="36">
        <v>20494687.504646644</v>
      </c>
      <c r="H20" s="37">
        <v>25285032.433642764</v>
      </c>
      <c r="I20" s="38">
        <v>78755486.711203635</v>
      </c>
      <c r="J20" s="39">
        <v>2.1221615239931642</v>
      </c>
      <c r="K20" s="38">
        <v>83545831.640199751</v>
      </c>
      <c r="L20" s="39">
        <v>2.2509256913032485</v>
      </c>
      <c r="P20" s="13" t="s">
        <v>28</v>
      </c>
      <c r="Q20" s="43">
        <v>0.93733194486095073</v>
      </c>
      <c r="R20" s="44">
        <v>0.34548787684065163</v>
      </c>
      <c r="S20" s="45">
        <v>0.11936187304386126</v>
      </c>
      <c r="V20" s="16" t="s">
        <v>13</v>
      </c>
      <c r="W20" s="17">
        <v>2025</v>
      </c>
      <c r="X20" s="49">
        <v>0.85783362542312747</v>
      </c>
    </row>
    <row r="21" spans="1:24" x14ac:dyDescent="0.3">
      <c r="A21" s="7">
        <v>2026</v>
      </c>
      <c r="B21" s="7" t="s">
        <v>13</v>
      </c>
      <c r="C21" s="33">
        <v>32553496.773026906</v>
      </c>
      <c r="D21" s="34">
        <v>230.14156086331786</v>
      </c>
      <c r="E21" s="35">
        <v>60230.141560863318</v>
      </c>
      <c r="F21" s="34">
        <v>0</v>
      </c>
      <c r="G21" s="36">
        <v>17844193.083603937</v>
      </c>
      <c r="H21" s="37">
        <v>22272572.312391572</v>
      </c>
      <c r="I21" s="38">
        <v>17844423.225164801</v>
      </c>
      <c r="J21" s="39">
        <v>0.55000000000000004</v>
      </c>
      <c r="K21" s="38">
        <v>22272802.453952435</v>
      </c>
      <c r="L21" s="39">
        <v>0.68603390319828539</v>
      </c>
      <c r="P21" s="13" t="s">
        <v>29</v>
      </c>
      <c r="Q21" s="43">
        <v>0.56718079192542414</v>
      </c>
      <c r="R21" s="44">
        <v>8.565621022277993E-2</v>
      </c>
      <c r="S21" s="45">
        <v>7.3369863497290688E-3</v>
      </c>
      <c r="V21" s="16" t="s">
        <v>13</v>
      </c>
      <c r="W21" s="17">
        <v>2026</v>
      </c>
      <c r="X21" s="49">
        <v>0.24191302933789754</v>
      </c>
    </row>
    <row r="22" spans="1:24" x14ac:dyDescent="0.3">
      <c r="A22" s="7">
        <v>2017</v>
      </c>
      <c r="B22" s="7" t="s">
        <v>14</v>
      </c>
      <c r="C22" s="33">
        <v>740907.69000000006</v>
      </c>
      <c r="D22" s="34">
        <v>5.3571912867482752E-3</v>
      </c>
      <c r="E22" s="35">
        <v>804110.89517269132</v>
      </c>
      <c r="F22" s="34">
        <v>0</v>
      </c>
      <c r="G22" s="36">
        <v>0</v>
      </c>
      <c r="H22" s="37">
        <v>0</v>
      </c>
      <c r="I22" s="38">
        <v>5.3571912867482752E-3</v>
      </c>
      <c r="J22" s="39">
        <v>1.0853051007915591</v>
      </c>
      <c r="K22" s="38">
        <v>5.3571912867482752E-3</v>
      </c>
      <c r="L22" s="39">
        <v>1.0853051007915591</v>
      </c>
      <c r="P22" s="13" t="s">
        <v>30</v>
      </c>
      <c r="Q22" s="43">
        <v>1.0681977586762126</v>
      </c>
      <c r="R22" s="44">
        <v>0.21793837511687875</v>
      </c>
      <c r="S22" s="45">
        <v>4.7497135348585351E-2</v>
      </c>
      <c r="V22" s="16" t="s">
        <v>14</v>
      </c>
      <c r="W22" s="17">
        <v>2017</v>
      </c>
      <c r="X22" s="49">
        <v>1</v>
      </c>
    </row>
    <row r="23" spans="1:24" x14ac:dyDescent="0.3">
      <c r="A23" s="7">
        <v>2018</v>
      </c>
      <c r="B23" s="7" t="s">
        <v>14</v>
      </c>
      <c r="C23" s="33">
        <v>1431989.1600000004</v>
      </c>
      <c r="D23" s="34">
        <v>3.679999994346872E-3</v>
      </c>
      <c r="E23" s="35">
        <v>149506.76655</v>
      </c>
      <c r="F23" s="34">
        <v>0</v>
      </c>
      <c r="G23" s="36">
        <v>5236.2774151530339</v>
      </c>
      <c r="H23" s="37">
        <v>6086.4999874954738</v>
      </c>
      <c r="I23" s="38">
        <v>5236.2810951530282</v>
      </c>
      <c r="J23" s="39">
        <v>0.10806160290008969</v>
      </c>
      <c r="K23" s="38">
        <v>6086.5036674954681</v>
      </c>
      <c r="L23" s="39">
        <v>0.10865533824117456</v>
      </c>
      <c r="P23" s="14" t="s">
        <v>31</v>
      </c>
      <c r="Q23" s="46">
        <v>1E-10</v>
      </c>
      <c r="R23" s="47">
        <v>1E-10</v>
      </c>
      <c r="S23" s="48">
        <v>1.0000000000000001E-20</v>
      </c>
      <c r="V23" s="16" t="s">
        <v>14</v>
      </c>
      <c r="W23" s="17">
        <v>2018</v>
      </c>
      <c r="X23" s="49">
        <v>1</v>
      </c>
    </row>
    <row r="24" spans="1:24" x14ac:dyDescent="0.3">
      <c r="A24" s="7">
        <v>2019</v>
      </c>
      <c r="B24" s="7" t="s">
        <v>14</v>
      </c>
      <c r="C24" s="33">
        <v>1639535.9800000002</v>
      </c>
      <c r="D24" s="34">
        <v>4.7502907857266408E-11</v>
      </c>
      <c r="E24" s="35">
        <v>557508.08058499999</v>
      </c>
      <c r="F24" s="34">
        <v>0</v>
      </c>
      <c r="G24" s="36">
        <v>66391.78146355506</v>
      </c>
      <c r="H24" s="37">
        <v>77673.41622011752</v>
      </c>
      <c r="I24" s="38">
        <v>66391.781463555104</v>
      </c>
      <c r="J24" s="39">
        <v>0.38053441318717202</v>
      </c>
      <c r="K24" s="38">
        <v>77673.416220117564</v>
      </c>
      <c r="L24" s="39">
        <v>0.38741540567174221</v>
      </c>
      <c r="V24" s="16" t="s">
        <v>14</v>
      </c>
      <c r="W24" s="17">
        <v>2019</v>
      </c>
      <c r="X24" s="49">
        <v>1</v>
      </c>
    </row>
    <row r="25" spans="1:24" x14ac:dyDescent="0.3">
      <c r="A25" s="7">
        <v>2020</v>
      </c>
      <c r="B25" s="7" t="s">
        <v>14</v>
      </c>
      <c r="C25" s="33">
        <v>2201535.25</v>
      </c>
      <c r="D25" s="34">
        <v>1.0550000006901428E-3</v>
      </c>
      <c r="E25" s="35">
        <v>22568.616175660001</v>
      </c>
      <c r="F25" s="34">
        <v>0</v>
      </c>
      <c r="G25" s="36">
        <v>27396.480297535156</v>
      </c>
      <c r="H25" s="37">
        <v>32231.963893940338</v>
      </c>
      <c r="I25" s="38">
        <v>27396.481352535156</v>
      </c>
      <c r="J25" s="39">
        <v>2.2695569590900327E-2</v>
      </c>
      <c r="K25" s="38">
        <v>32231.964948940338</v>
      </c>
      <c r="L25" s="39">
        <v>2.4891983932394605E-2</v>
      </c>
      <c r="V25" s="16" t="s">
        <v>14</v>
      </c>
      <c r="W25" s="17">
        <v>2020</v>
      </c>
      <c r="X25" s="49">
        <v>1</v>
      </c>
    </row>
    <row r="26" spans="1:24" x14ac:dyDescent="0.3">
      <c r="A26" s="7">
        <v>2021</v>
      </c>
      <c r="B26" s="7" t="s">
        <v>14</v>
      </c>
      <c r="C26" s="33">
        <v>2711990.6999999993</v>
      </c>
      <c r="D26" s="34">
        <v>80194.856241369213</v>
      </c>
      <c r="E26" s="35">
        <v>1292912.6257413691</v>
      </c>
      <c r="F26" s="34">
        <v>0</v>
      </c>
      <c r="G26" s="36">
        <v>91022.499305842677</v>
      </c>
      <c r="H26" s="37">
        <v>107817.40916164126</v>
      </c>
      <c r="I26" s="38">
        <v>171217.35554721189</v>
      </c>
      <c r="J26" s="39">
        <v>0.51030231226353839</v>
      </c>
      <c r="K26" s="38">
        <v>188012.26540301047</v>
      </c>
      <c r="L26" s="39">
        <v>0.51649514686868603</v>
      </c>
      <c r="V26" s="16" t="s">
        <v>14</v>
      </c>
      <c r="W26" s="17">
        <v>2021</v>
      </c>
      <c r="X26" s="49">
        <v>0.97528759448930136</v>
      </c>
    </row>
    <row r="27" spans="1:24" x14ac:dyDescent="0.3">
      <c r="A27" s="7">
        <v>2022</v>
      </c>
      <c r="B27" s="7" t="s">
        <v>14</v>
      </c>
      <c r="C27" s="33">
        <v>2901585.6899999995</v>
      </c>
      <c r="D27" s="34">
        <v>425318.62385732192</v>
      </c>
      <c r="E27" s="35">
        <v>833252.52433111193</v>
      </c>
      <c r="F27" s="34">
        <v>0</v>
      </c>
      <c r="G27" s="36">
        <v>582429.83099842619</v>
      </c>
      <c r="H27" s="37">
        <v>695918.25914698932</v>
      </c>
      <c r="I27" s="38">
        <v>1007748.4548557481</v>
      </c>
      <c r="J27" s="39">
        <v>0.48789955099673049</v>
      </c>
      <c r="K27" s="38">
        <v>1121236.8830043112</v>
      </c>
      <c r="L27" s="39">
        <v>0.52701210539748067</v>
      </c>
      <c r="V27" s="16" t="s">
        <v>14</v>
      </c>
      <c r="W27" s="17">
        <v>2022</v>
      </c>
      <c r="X27" s="49">
        <v>0.99665339627275573</v>
      </c>
    </row>
    <row r="28" spans="1:24" x14ac:dyDescent="0.3">
      <c r="A28" s="7">
        <v>2023</v>
      </c>
      <c r="B28" s="7" t="s">
        <v>14</v>
      </c>
      <c r="C28" s="33">
        <v>9256224.8399999999</v>
      </c>
      <c r="D28" s="34">
        <v>2358521.1801079148</v>
      </c>
      <c r="E28" s="35">
        <v>2362830.7922747647</v>
      </c>
      <c r="F28" s="34">
        <v>0</v>
      </c>
      <c r="G28" s="36">
        <v>3190904.1117252354</v>
      </c>
      <c r="H28" s="37">
        <v>3845439.6469366495</v>
      </c>
      <c r="I28" s="38">
        <v>5549425.2918331502</v>
      </c>
      <c r="J28" s="39">
        <v>0.6</v>
      </c>
      <c r="K28" s="38">
        <v>6203960.8270445643</v>
      </c>
      <c r="L28" s="39">
        <v>0.67071301167868069</v>
      </c>
      <c r="V28" s="16" t="s">
        <v>14</v>
      </c>
      <c r="W28" s="17">
        <v>2023</v>
      </c>
      <c r="X28" s="49">
        <v>0.7208717543951767</v>
      </c>
    </row>
    <row r="29" spans="1:24" x14ac:dyDescent="0.3">
      <c r="A29" s="7">
        <v>2024</v>
      </c>
      <c r="B29" s="7" t="s">
        <v>14</v>
      </c>
      <c r="C29" s="33">
        <v>7139950.7100000009</v>
      </c>
      <c r="D29" s="34">
        <v>83928.840000000011</v>
      </c>
      <c r="E29" s="35">
        <v>83928.840000000011</v>
      </c>
      <c r="F29" s="34">
        <v>0</v>
      </c>
      <c r="G29" s="36">
        <v>4200041.5860000001</v>
      </c>
      <c r="H29" s="37">
        <v>5107764.8218424991</v>
      </c>
      <c r="I29" s="38">
        <v>4283970.426</v>
      </c>
      <c r="J29" s="39">
        <v>0.59999999999999987</v>
      </c>
      <c r="K29" s="38">
        <v>5191693.6618424989</v>
      </c>
      <c r="L29" s="39">
        <v>0.72713298350521782</v>
      </c>
      <c r="V29" s="16" t="s">
        <v>14</v>
      </c>
      <c r="W29" s="17">
        <v>2024</v>
      </c>
      <c r="X29" s="49">
        <v>0.44615839541808677</v>
      </c>
    </row>
    <row r="30" spans="1:24" x14ac:dyDescent="0.3">
      <c r="A30" s="7">
        <v>2025</v>
      </c>
      <c r="B30" s="7" t="s">
        <v>14</v>
      </c>
      <c r="C30" s="33">
        <v>3427630.5949999997</v>
      </c>
      <c r="D30" s="34">
        <v>3</v>
      </c>
      <c r="E30" s="35">
        <v>3</v>
      </c>
      <c r="F30" s="34">
        <v>0</v>
      </c>
      <c r="G30" s="36">
        <v>1885193.8272500001</v>
      </c>
      <c r="H30" s="37">
        <v>2318339.8916291441</v>
      </c>
      <c r="I30" s="38">
        <v>1885196.8272500001</v>
      </c>
      <c r="J30" s="39">
        <v>0.55000000000000004</v>
      </c>
      <c r="K30" s="38">
        <v>2318342.8916291441</v>
      </c>
      <c r="L30" s="39">
        <v>0.6763689456533003</v>
      </c>
      <c r="V30" s="16" t="s">
        <v>14</v>
      </c>
      <c r="W30" s="17">
        <v>2025</v>
      </c>
      <c r="X30" s="49">
        <v>0.24712623403921541</v>
      </c>
    </row>
    <row r="31" spans="1:24" x14ac:dyDescent="0.3">
      <c r="A31" s="7">
        <v>2026</v>
      </c>
      <c r="B31" s="7" t="s">
        <v>14</v>
      </c>
      <c r="C31" s="33">
        <v>100000.00000000015</v>
      </c>
      <c r="D31" s="34">
        <v>0</v>
      </c>
      <c r="E31" s="35">
        <v>0</v>
      </c>
      <c r="F31" s="34">
        <v>0</v>
      </c>
      <c r="G31" s="36">
        <v>55000.000000000087</v>
      </c>
      <c r="H31" s="37">
        <v>68598.916546495137</v>
      </c>
      <c r="I31" s="38">
        <v>55000.000000000087</v>
      </c>
      <c r="J31" s="39">
        <v>0.55000000000000004</v>
      </c>
      <c r="K31" s="38">
        <v>68598.916546495137</v>
      </c>
      <c r="L31" s="39">
        <v>0.68598916546495037</v>
      </c>
      <c r="V31" s="16" t="s">
        <v>14</v>
      </c>
      <c r="W31" s="17">
        <v>2026</v>
      </c>
      <c r="X31" s="49">
        <v>0.34108527131782945</v>
      </c>
    </row>
    <row r="32" spans="1:24" x14ac:dyDescent="0.3">
      <c r="A32" s="7">
        <v>2017</v>
      </c>
      <c r="B32" s="7" t="s">
        <v>15</v>
      </c>
      <c r="C32" s="33">
        <v>0</v>
      </c>
      <c r="D32" s="34">
        <v>0</v>
      </c>
      <c r="E32" s="35">
        <v>0</v>
      </c>
      <c r="F32" s="34">
        <v>0</v>
      </c>
      <c r="G32" s="36">
        <v>0</v>
      </c>
      <c r="H32" s="37">
        <v>0</v>
      </c>
      <c r="I32" s="38">
        <v>0</v>
      </c>
      <c r="J32" s="39">
        <v>0</v>
      </c>
      <c r="K32" s="38">
        <v>0</v>
      </c>
      <c r="L32" s="39">
        <v>0</v>
      </c>
      <c r="V32" s="16" t="s">
        <v>15</v>
      </c>
      <c r="W32" s="17">
        <v>2017</v>
      </c>
      <c r="X32" s="49">
        <v>1</v>
      </c>
    </row>
    <row r="33" spans="1:24" x14ac:dyDescent="0.3">
      <c r="A33" s="7">
        <v>2018</v>
      </c>
      <c r="B33" s="7" t="s">
        <v>15</v>
      </c>
      <c r="C33" s="33">
        <v>0</v>
      </c>
      <c r="D33" s="34">
        <v>0</v>
      </c>
      <c r="E33" s="35">
        <v>0</v>
      </c>
      <c r="F33" s="34">
        <v>0</v>
      </c>
      <c r="G33" s="36">
        <v>0</v>
      </c>
      <c r="H33" s="37">
        <v>0</v>
      </c>
      <c r="I33" s="38">
        <v>0</v>
      </c>
      <c r="J33" s="39">
        <v>0</v>
      </c>
      <c r="K33" s="38">
        <v>0</v>
      </c>
      <c r="L33" s="39">
        <v>0</v>
      </c>
      <c r="V33" s="16" t="s">
        <v>15</v>
      </c>
      <c r="W33" s="17">
        <v>2018</v>
      </c>
      <c r="X33" s="49">
        <v>1</v>
      </c>
    </row>
    <row r="34" spans="1:24" x14ac:dyDescent="0.3">
      <c r="A34" s="7">
        <v>2019</v>
      </c>
      <c r="B34" s="7" t="s">
        <v>15</v>
      </c>
      <c r="C34" s="33">
        <v>0</v>
      </c>
      <c r="D34" s="34">
        <v>0</v>
      </c>
      <c r="E34" s="35">
        <v>0</v>
      </c>
      <c r="F34" s="34">
        <v>0</v>
      </c>
      <c r="G34" s="36">
        <v>0</v>
      </c>
      <c r="H34" s="37">
        <v>0</v>
      </c>
      <c r="I34" s="38">
        <v>0</v>
      </c>
      <c r="J34" s="39">
        <v>0</v>
      </c>
      <c r="K34" s="38">
        <v>0</v>
      </c>
      <c r="L34" s="39">
        <v>0</v>
      </c>
      <c r="V34" s="16" t="s">
        <v>15</v>
      </c>
      <c r="W34" s="17">
        <v>2019</v>
      </c>
      <c r="X34" s="49">
        <v>1</v>
      </c>
    </row>
    <row r="35" spans="1:24" x14ac:dyDescent="0.3">
      <c r="A35" s="7">
        <v>2020</v>
      </c>
      <c r="B35" s="7" t="s">
        <v>15</v>
      </c>
      <c r="C35" s="33">
        <v>0</v>
      </c>
      <c r="D35" s="34">
        <v>0</v>
      </c>
      <c r="E35" s="35">
        <v>0</v>
      </c>
      <c r="F35" s="34">
        <v>0</v>
      </c>
      <c r="G35" s="36">
        <v>0</v>
      </c>
      <c r="H35" s="37">
        <v>0</v>
      </c>
      <c r="I35" s="38">
        <v>0</v>
      </c>
      <c r="J35" s="39">
        <v>0</v>
      </c>
      <c r="K35" s="38">
        <v>0</v>
      </c>
      <c r="L35" s="39">
        <v>0</v>
      </c>
      <c r="V35" s="16" t="s">
        <v>15</v>
      </c>
      <c r="W35" s="17">
        <v>2020</v>
      </c>
      <c r="X35" s="49">
        <v>1</v>
      </c>
    </row>
    <row r="36" spans="1:24" x14ac:dyDescent="0.3">
      <c r="A36" s="7">
        <v>2021</v>
      </c>
      <c r="B36" s="7" t="s">
        <v>15</v>
      </c>
      <c r="C36" s="33">
        <v>0</v>
      </c>
      <c r="D36" s="34">
        <v>0</v>
      </c>
      <c r="E36" s="35">
        <v>0</v>
      </c>
      <c r="F36" s="34">
        <v>0</v>
      </c>
      <c r="G36" s="36">
        <v>0</v>
      </c>
      <c r="H36" s="37">
        <v>0</v>
      </c>
      <c r="I36" s="38">
        <v>0</v>
      </c>
      <c r="J36" s="39">
        <v>0</v>
      </c>
      <c r="K36" s="38">
        <v>0</v>
      </c>
      <c r="L36" s="39">
        <v>0</v>
      </c>
      <c r="V36" s="16" t="s">
        <v>15</v>
      </c>
      <c r="W36" s="17">
        <v>2021</v>
      </c>
      <c r="X36" s="49">
        <v>1</v>
      </c>
    </row>
    <row r="37" spans="1:24" x14ac:dyDescent="0.3">
      <c r="A37" s="7">
        <v>2022</v>
      </c>
      <c r="B37" s="7" t="s">
        <v>15</v>
      </c>
      <c r="C37" s="33">
        <v>0</v>
      </c>
      <c r="D37" s="34">
        <v>0</v>
      </c>
      <c r="E37" s="35">
        <v>0</v>
      </c>
      <c r="F37" s="34">
        <v>0</v>
      </c>
      <c r="G37" s="36">
        <v>0</v>
      </c>
      <c r="H37" s="37">
        <v>0</v>
      </c>
      <c r="I37" s="38">
        <v>0</v>
      </c>
      <c r="J37" s="39">
        <v>0</v>
      </c>
      <c r="K37" s="38">
        <v>0</v>
      </c>
      <c r="L37" s="39">
        <v>0</v>
      </c>
      <c r="V37" s="16" t="s">
        <v>15</v>
      </c>
      <c r="W37" s="17">
        <v>2022</v>
      </c>
      <c r="X37" s="49">
        <v>1</v>
      </c>
    </row>
    <row r="38" spans="1:24" x14ac:dyDescent="0.3">
      <c r="A38" s="7">
        <v>2023</v>
      </c>
      <c r="B38" s="7" t="s">
        <v>15</v>
      </c>
      <c r="C38" s="33">
        <v>0</v>
      </c>
      <c r="D38" s="34">
        <v>0</v>
      </c>
      <c r="E38" s="35">
        <v>0</v>
      </c>
      <c r="F38" s="34">
        <v>0</v>
      </c>
      <c r="G38" s="36">
        <v>0</v>
      </c>
      <c r="H38" s="37">
        <v>0</v>
      </c>
      <c r="I38" s="38">
        <v>0</v>
      </c>
      <c r="J38" s="39">
        <v>0</v>
      </c>
      <c r="K38" s="38">
        <v>0</v>
      </c>
      <c r="L38" s="39">
        <v>0</v>
      </c>
      <c r="V38" s="16" t="s">
        <v>15</v>
      </c>
      <c r="W38" s="17">
        <v>2023</v>
      </c>
      <c r="X38" s="49">
        <v>1</v>
      </c>
    </row>
    <row r="39" spans="1:24" x14ac:dyDescent="0.3">
      <c r="A39" s="7">
        <v>2024</v>
      </c>
      <c r="B39" s="7" t="s">
        <v>15</v>
      </c>
      <c r="C39" s="33">
        <v>0</v>
      </c>
      <c r="D39" s="34">
        <v>0</v>
      </c>
      <c r="E39" s="35">
        <v>0</v>
      </c>
      <c r="F39" s="34">
        <v>0</v>
      </c>
      <c r="G39" s="36">
        <v>0</v>
      </c>
      <c r="H39" s="37">
        <v>0</v>
      </c>
      <c r="I39" s="38">
        <v>0</v>
      </c>
      <c r="J39" s="39">
        <v>0</v>
      </c>
      <c r="K39" s="38">
        <v>0</v>
      </c>
      <c r="L39" s="39">
        <v>0</v>
      </c>
      <c r="V39" s="16" t="s">
        <v>15</v>
      </c>
      <c r="W39" s="17">
        <v>2024</v>
      </c>
      <c r="X39" s="49">
        <v>1</v>
      </c>
    </row>
    <row r="40" spans="1:24" x14ac:dyDescent="0.3">
      <c r="A40" s="7">
        <v>2025</v>
      </c>
      <c r="B40" s="7" t="s">
        <v>15</v>
      </c>
      <c r="C40" s="33">
        <v>100448.55</v>
      </c>
      <c r="D40" s="34">
        <v>0</v>
      </c>
      <c r="E40" s="35">
        <v>0</v>
      </c>
      <c r="F40" s="34">
        <v>0</v>
      </c>
      <c r="G40" s="36">
        <v>55246.702500000007</v>
      </c>
      <c r="H40" s="37">
        <v>67931.095942657557</v>
      </c>
      <c r="I40" s="38">
        <v>55246.702500000007</v>
      </c>
      <c r="J40" s="39">
        <v>0.55000000000000004</v>
      </c>
      <c r="K40" s="38">
        <v>67931.095942657557</v>
      </c>
      <c r="L40" s="39">
        <v>0.67627751662575075</v>
      </c>
      <c r="V40" s="16" t="s">
        <v>15</v>
      </c>
      <c r="W40" s="17">
        <v>2025</v>
      </c>
      <c r="X40" s="49">
        <v>0.6386512979773542</v>
      </c>
    </row>
    <row r="41" spans="1:24" x14ac:dyDescent="0.3">
      <c r="A41" s="7">
        <v>2026</v>
      </c>
      <c r="B41" s="7" t="s">
        <v>15</v>
      </c>
      <c r="C41" s="33">
        <v>17000000</v>
      </c>
      <c r="D41" s="34">
        <v>0</v>
      </c>
      <c r="E41" s="35">
        <v>0</v>
      </c>
      <c r="F41" s="34">
        <v>0</v>
      </c>
      <c r="G41" s="36">
        <v>9350000</v>
      </c>
      <c r="H41" s="37">
        <v>11626093.818576185</v>
      </c>
      <c r="I41" s="38">
        <v>9350000</v>
      </c>
      <c r="J41" s="39">
        <v>0.55000000000000004</v>
      </c>
      <c r="K41" s="38">
        <v>11626093.818576185</v>
      </c>
      <c r="L41" s="39">
        <v>0.68388787168095211</v>
      </c>
      <c r="V41" s="16" t="s">
        <v>15</v>
      </c>
      <c r="W41" s="17">
        <v>2026</v>
      </c>
      <c r="X41" s="49">
        <v>0.16660341859969738</v>
      </c>
    </row>
    <row r="42" spans="1:24" x14ac:dyDescent="0.3">
      <c r="A42" s="7">
        <v>2017</v>
      </c>
      <c r="B42" s="7" t="s">
        <v>16</v>
      </c>
      <c r="C42" s="33">
        <v>0</v>
      </c>
      <c r="D42" s="34">
        <v>0</v>
      </c>
      <c r="E42" s="35">
        <v>0</v>
      </c>
      <c r="F42" s="34">
        <v>0</v>
      </c>
      <c r="G42" s="36">
        <v>0</v>
      </c>
      <c r="H42" s="37">
        <v>0</v>
      </c>
      <c r="I42" s="38">
        <v>0</v>
      </c>
      <c r="J42" s="39">
        <v>0</v>
      </c>
      <c r="K42" s="38">
        <v>0</v>
      </c>
      <c r="L42" s="39">
        <v>0</v>
      </c>
      <c r="V42" s="16" t="s">
        <v>16</v>
      </c>
      <c r="W42" s="17">
        <v>2017</v>
      </c>
      <c r="X42" s="49">
        <v>1</v>
      </c>
    </row>
    <row r="43" spans="1:24" x14ac:dyDescent="0.3">
      <c r="A43" s="7">
        <v>2018</v>
      </c>
      <c r="B43" s="7" t="s">
        <v>16</v>
      </c>
      <c r="C43" s="33">
        <v>0</v>
      </c>
      <c r="D43" s="34">
        <v>0</v>
      </c>
      <c r="E43" s="35">
        <v>0</v>
      </c>
      <c r="F43" s="34">
        <v>0</v>
      </c>
      <c r="G43" s="36">
        <v>0</v>
      </c>
      <c r="H43" s="37">
        <v>0</v>
      </c>
      <c r="I43" s="38">
        <v>0</v>
      </c>
      <c r="J43" s="39">
        <v>0</v>
      </c>
      <c r="K43" s="38">
        <v>0</v>
      </c>
      <c r="L43" s="39">
        <v>0</v>
      </c>
      <c r="V43" s="16" t="s">
        <v>16</v>
      </c>
      <c r="W43" s="17">
        <v>2018</v>
      </c>
      <c r="X43" s="49">
        <v>1</v>
      </c>
    </row>
    <row r="44" spans="1:24" x14ac:dyDescent="0.3">
      <c r="A44" s="7">
        <v>2019</v>
      </c>
      <c r="B44" s="7" t="s">
        <v>16</v>
      </c>
      <c r="C44" s="33">
        <v>0</v>
      </c>
      <c r="D44" s="34">
        <v>0</v>
      </c>
      <c r="E44" s="35">
        <v>0</v>
      </c>
      <c r="F44" s="34">
        <v>0</v>
      </c>
      <c r="G44" s="36">
        <v>0</v>
      </c>
      <c r="H44" s="37">
        <v>0</v>
      </c>
      <c r="I44" s="38">
        <v>0</v>
      </c>
      <c r="J44" s="39">
        <v>0</v>
      </c>
      <c r="K44" s="38">
        <v>0</v>
      </c>
      <c r="L44" s="39">
        <v>0</v>
      </c>
      <c r="V44" s="16" t="s">
        <v>16</v>
      </c>
      <c r="W44" s="17">
        <v>2019</v>
      </c>
      <c r="X44" s="49">
        <v>1</v>
      </c>
    </row>
    <row r="45" spans="1:24" x14ac:dyDescent="0.3">
      <c r="A45" s="7">
        <v>2020</v>
      </c>
      <c r="B45" s="7" t="s">
        <v>16</v>
      </c>
      <c r="C45" s="33">
        <v>0</v>
      </c>
      <c r="D45" s="34">
        <v>0</v>
      </c>
      <c r="E45" s="35">
        <v>0</v>
      </c>
      <c r="F45" s="34">
        <v>0</v>
      </c>
      <c r="G45" s="36">
        <v>0</v>
      </c>
      <c r="H45" s="37">
        <v>0</v>
      </c>
      <c r="I45" s="38">
        <v>0</v>
      </c>
      <c r="J45" s="39">
        <v>0</v>
      </c>
      <c r="K45" s="38">
        <v>0</v>
      </c>
      <c r="L45" s="39">
        <v>0</v>
      </c>
      <c r="V45" s="16" t="s">
        <v>16</v>
      </c>
      <c r="W45" s="17">
        <v>2020</v>
      </c>
      <c r="X45" s="49">
        <v>1</v>
      </c>
    </row>
    <row r="46" spans="1:24" x14ac:dyDescent="0.3">
      <c r="A46" s="7">
        <v>2021</v>
      </c>
      <c r="B46" s="7" t="s">
        <v>16</v>
      </c>
      <c r="C46" s="33">
        <v>0</v>
      </c>
      <c r="D46" s="34">
        <v>0</v>
      </c>
      <c r="E46" s="35">
        <v>0</v>
      </c>
      <c r="F46" s="34">
        <v>0</v>
      </c>
      <c r="G46" s="36">
        <v>0</v>
      </c>
      <c r="H46" s="37">
        <v>0</v>
      </c>
      <c r="I46" s="38">
        <v>0</v>
      </c>
      <c r="J46" s="39">
        <v>0</v>
      </c>
      <c r="K46" s="38">
        <v>0</v>
      </c>
      <c r="L46" s="39">
        <v>0</v>
      </c>
      <c r="V46" s="16" t="s">
        <v>16</v>
      </c>
      <c r="W46" s="17">
        <v>2021</v>
      </c>
      <c r="X46" s="49">
        <v>1</v>
      </c>
    </row>
    <row r="47" spans="1:24" x14ac:dyDescent="0.3">
      <c r="A47" s="7">
        <v>2022</v>
      </c>
      <c r="B47" s="7" t="s">
        <v>16</v>
      </c>
      <c r="C47" s="33">
        <v>0</v>
      </c>
      <c r="D47" s="34">
        <v>0</v>
      </c>
      <c r="E47" s="35">
        <v>0</v>
      </c>
      <c r="F47" s="34">
        <v>0</v>
      </c>
      <c r="G47" s="36">
        <v>0</v>
      </c>
      <c r="H47" s="37">
        <v>0</v>
      </c>
      <c r="I47" s="38">
        <v>0</v>
      </c>
      <c r="J47" s="39">
        <v>0</v>
      </c>
      <c r="K47" s="38">
        <v>0</v>
      </c>
      <c r="L47" s="39">
        <v>0</v>
      </c>
      <c r="V47" s="16" t="s">
        <v>16</v>
      </c>
      <c r="W47" s="17">
        <v>2022</v>
      </c>
      <c r="X47" s="49">
        <v>1</v>
      </c>
    </row>
    <row r="48" spans="1:24" x14ac:dyDescent="0.3">
      <c r="A48" s="7">
        <v>2023</v>
      </c>
      <c r="B48" s="7" t="s">
        <v>16</v>
      </c>
      <c r="C48" s="33">
        <v>0</v>
      </c>
      <c r="D48" s="34">
        <v>0</v>
      </c>
      <c r="E48" s="35">
        <v>0</v>
      </c>
      <c r="F48" s="34">
        <v>0</v>
      </c>
      <c r="G48" s="36">
        <v>0</v>
      </c>
      <c r="H48" s="37">
        <v>0</v>
      </c>
      <c r="I48" s="38">
        <v>0</v>
      </c>
      <c r="J48" s="39">
        <v>0</v>
      </c>
      <c r="K48" s="38">
        <v>0</v>
      </c>
      <c r="L48" s="39">
        <v>0</v>
      </c>
      <c r="V48" s="16" t="s">
        <v>16</v>
      </c>
      <c r="W48" s="17">
        <v>2023</v>
      </c>
      <c r="X48" s="49">
        <v>1</v>
      </c>
    </row>
    <row r="49" spans="1:24" x14ac:dyDescent="0.3">
      <c r="A49" s="7">
        <v>2024</v>
      </c>
      <c r="B49" s="7" t="s">
        <v>16</v>
      </c>
      <c r="C49" s="33">
        <v>0</v>
      </c>
      <c r="D49" s="34">
        <v>0</v>
      </c>
      <c r="E49" s="35">
        <v>0</v>
      </c>
      <c r="F49" s="34">
        <v>0</v>
      </c>
      <c r="G49" s="36">
        <v>0</v>
      </c>
      <c r="H49" s="37">
        <v>0</v>
      </c>
      <c r="I49" s="38">
        <v>0</v>
      </c>
      <c r="J49" s="39">
        <v>0</v>
      </c>
      <c r="K49" s="38">
        <v>0</v>
      </c>
      <c r="L49" s="39">
        <v>0</v>
      </c>
      <c r="V49" s="16" t="s">
        <v>16</v>
      </c>
      <c r="W49" s="17">
        <v>2024</v>
      </c>
      <c r="X49" s="49">
        <v>1</v>
      </c>
    </row>
    <row r="50" spans="1:24" x14ac:dyDescent="0.3">
      <c r="A50" s="7">
        <v>2025</v>
      </c>
      <c r="B50" s="7" t="s">
        <v>16</v>
      </c>
      <c r="C50" s="33">
        <v>0</v>
      </c>
      <c r="D50" s="34">
        <v>0</v>
      </c>
      <c r="E50" s="35">
        <v>0</v>
      </c>
      <c r="F50" s="34">
        <v>0</v>
      </c>
      <c r="G50" s="36">
        <v>0</v>
      </c>
      <c r="H50" s="37">
        <v>0</v>
      </c>
      <c r="I50" s="38">
        <v>0</v>
      </c>
      <c r="J50" s="39">
        <v>0</v>
      </c>
      <c r="K50" s="38">
        <v>0</v>
      </c>
      <c r="L50" s="39">
        <v>0</v>
      </c>
      <c r="V50" s="16" t="s">
        <v>16</v>
      </c>
      <c r="W50" s="17">
        <v>2025</v>
      </c>
      <c r="X50" s="49">
        <v>1</v>
      </c>
    </row>
    <row r="51" spans="1:24" x14ac:dyDescent="0.3">
      <c r="A51" s="7">
        <v>2026</v>
      </c>
      <c r="B51" s="7" t="s">
        <v>16</v>
      </c>
      <c r="C51" s="33">
        <v>3200000</v>
      </c>
      <c r="D51" s="34">
        <v>0</v>
      </c>
      <c r="E51" s="35">
        <v>0</v>
      </c>
      <c r="F51" s="34">
        <v>0</v>
      </c>
      <c r="G51" s="36">
        <v>2400000</v>
      </c>
      <c r="H51" s="37">
        <v>2664631.9273147699</v>
      </c>
      <c r="I51" s="38">
        <v>2400000</v>
      </c>
      <c r="J51" s="39">
        <v>0.75</v>
      </c>
      <c r="K51" s="38">
        <v>2664631.9273147699</v>
      </c>
      <c r="L51" s="39">
        <v>0.83269747728586563</v>
      </c>
      <c r="V51" s="16" t="s">
        <v>16</v>
      </c>
      <c r="W51" s="17">
        <v>2026</v>
      </c>
      <c r="X51" s="49">
        <v>0.17600539216019412</v>
      </c>
    </row>
    <row r="52" spans="1:24" x14ac:dyDescent="0.3">
      <c r="A52" s="7">
        <v>2017</v>
      </c>
      <c r="B52" s="7" t="s">
        <v>17</v>
      </c>
      <c r="C52" s="33">
        <v>0</v>
      </c>
      <c r="D52" s="34">
        <v>0</v>
      </c>
      <c r="E52" s="35">
        <v>0</v>
      </c>
      <c r="F52" s="34">
        <v>0</v>
      </c>
      <c r="G52" s="36">
        <v>0</v>
      </c>
      <c r="H52" s="37">
        <v>0</v>
      </c>
      <c r="I52" s="38">
        <v>0</v>
      </c>
      <c r="J52" s="39">
        <v>0</v>
      </c>
      <c r="K52" s="38">
        <v>0</v>
      </c>
      <c r="L52" s="39">
        <v>0</v>
      </c>
      <c r="V52" s="16" t="s">
        <v>17</v>
      </c>
      <c r="W52" s="17">
        <v>2017</v>
      </c>
      <c r="X52" s="49">
        <v>1</v>
      </c>
    </row>
    <row r="53" spans="1:24" x14ac:dyDescent="0.3">
      <c r="A53" s="7">
        <v>2018</v>
      </c>
      <c r="B53" s="7" t="s">
        <v>17</v>
      </c>
      <c r="C53" s="33">
        <v>0</v>
      </c>
      <c r="D53" s="34">
        <v>0</v>
      </c>
      <c r="E53" s="35">
        <v>0</v>
      </c>
      <c r="F53" s="34">
        <v>0</v>
      </c>
      <c r="G53" s="36">
        <v>0</v>
      </c>
      <c r="H53" s="37">
        <v>0</v>
      </c>
      <c r="I53" s="38">
        <v>0</v>
      </c>
      <c r="J53" s="39">
        <v>0</v>
      </c>
      <c r="K53" s="38">
        <v>0</v>
      </c>
      <c r="L53" s="39">
        <v>0</v>
      </c>
      <c r="V53" s="16" t="s">
        <v>17</v>
      </c>
      <c r="W53" s="17">
        <v>2018</v>
      </c>
      <c r="X53" s="49">
        <v>1</v>
      </c>
    </row>
    <row r="54" spans="1:24" x14ac:dyDescent="0.3">
      <c r="A54" s="7">
        <v>2019</v>
      </c>
      <c r="B54" s="7" t="s">
        <v>17</v>
      </c>
      <c r="C54" s="33">
        <v>0</v>
      </c>
      <c r="D54" s="34">
        <v>0</v>
      </c>
      <c r="E54" s="35">
        <v>0</v>
      </c>
      <c r="F54" s="34">
        <v>0</v>
      </c>
      <c r="G54" s="36">
        <v>0</v>
      </c>
      <c r="H54" s="37">
        <v>0</v>
      </c>
      <c r="I54" s="38">
        <v>0</v>
      </c>
      <c r="J54" s="39">
        <v>0</v>
      </c>
      <c r="K54" s="38">
        <v>0</v>
      </c>
      <c r="L54" s="39">
        <v>0</v>
      </c>
      <c r="V54" s="16" t="s">
        <v>17</v>
      </c>
      <c r="W54" s="17">
        <v>2019</v>
      </c>
      <c r="X54" s="49">
        <v>1</v>
      </c>
    </row>
    <row r="55" spans="1:24" x14ac:dyDescent="0.3">
      <c r="A55" s="7">
        <v>2020</v>
      </c>
      <c r="B55" s="7" t="s">
        <v>17</v>
      </c>
      <c r="C55" s="33">
        <v>0</v>
      </c>
      <c r="D55" s="34">
        <v>0</v>
      </c>
      <c r="E55" s="35">
        <v>0</v>
      </c>
      <c r="F55" s="34">
        <v>0</v>
      </c>
      <c r="G55" s="36">
        <v>0</v>
      </c>
      <c r="H55" s="37">
        <v>0</v>
      </c>
      <c r="I55" s="38">
        <v>0</v>
      </c>
      <c r="J55" s="39">
        <v>0</v>
      </c>
      <c r="K55" s="38">
        <v>0</v>
      </c>
      <c r="L55" s="39">
        <v>0</v>
      </c>
      <c r="V55" s="16" t="s">
        <v>17</v>
      </c>
      <c r="W55" s="17">
        <v>2020</v>
      </c>
      <c r="X55" s="49">
        <v>1</v>
      </c>
    </row>
    <row r="56" spans="1:24" x14ac:dyDescent="0.3">
      <c r="A56" s="7">
        <v>2021</v>
      </c>
      <c r="B56" s="7" t="s">
        <v>17</v>
      </c>
      <c r="C56" s="33">
        <v>0</v>
      </c>
      <c r="D56" s="34">
        <v>0</v>
      </c>
      <c r="E56" s="35">
        <v>0</v>
      </c>
      <c r="F56" s="34">
        <v>0</v>
      </c>
      <c r="G56" s="36">
        <v>0</v>
      </c>
      <c r="H56" s="37">
        <v>0</v>
      </c>
      <c r="I56" s="38">
        <v>0</v>
      </c>
      <c r="J56" s="39">
        <v>0</v>
      </c>
      <c r="K56" s="38">
        <v>0</v>
      </c>
      <c r="L56" s="39">
        <v>0</v>
      </c>
      <c r="V56" s="16" t="s">
        <v>17</v>
      </c>
      <c r="W56" s="17">
        <v>2021</v>
      </c>
      <c r="X56" s="49">
        <v>1</v>
      </c>
    </row>
    <row r="57" spans="1:24" x14ac:dyDescent="0.3">
      <c r="A57" s="7">
        <v>2022</v>
      </c>
      <c r="B57" s="7" t="s">
        <v>17</v>
      </c>
      <c r="C57" s="33">
        <v>0</v>
      </c>
      <c r="D57" s="34">
        <v>0</v>
      </c>
      <c r="E57" s="35">
        <v>0</v>
      </c>
      <c r="F57" s="34">
        <v>0</v>
      </c>
      <c r="G57" s="36">
        <v>0</v>
      </c>
      <c r="H57" s="37">
        <v>0</v>
      </c>
      <c r="I57" s="38">
        <v>0</v>
      </c>
      <c r="J57" s="39">
        <v>0</v>
      </c>
      <c r="K57" s="38">
        <v>0</v>
      </c>
      <c r="L57" s="39">
        <v>0</v>
      </c>
      <c r="V57" s="16" t="s">
        <v>17</v>
      </c>
      <c r="W57" s="17">
        <v>2022</v>
      </c>
      <c r="X57" s="49">
        <v>1</v>
      </c>
    </row>
    <row r="58" spans="1:24" x14ac:dyDescent="0.3">
      <c r="A58" s="7">
        <v>2023</v>
      </c>
      <c r="B58" s="7" t="s">
        <v>17</v>
      </c>
      <c r="C58" s="33">
        <v>0</v>
      </c>
      <c r="D58" s="34">
        <v>0</v>
      </c>
      <c r="E58" s="35">
        <v>0</v>
      </c>
      <c r="F58" s="34">
        <v>0</v>
      </c>
      <c r="G58" s="36">
        <v>0</v>
      </c>
      <c r="H58" s="37">
        <v>0</v>
      </c>
      <c r="I58" s="38">
        <v>0</v>
      </c>
      <c r="J58" s="39">
        <v>0</v>
      </c>
      <c r="K58" s="38">
        <v>0</v>
      </c>
      <c r="L58" s="39">
        <v>0</v>
      </c>
      <c r="V58" s="16" t="s">
        <v>17</v>
      </c>
      <c r="W58" s="17">
        <v>2023</v>
      </c>
      <c r="X58" s="49">
        <v>1</v>
      </c>
    </row>
    <row r="59" spans="1:24" x14ac:dyDescent="0.3">
      <c r="A59" s="7">
        <v>2024</v>
      </c>
      <c r="B59" s="7" t="s">
        <v>17</v>
      </c>
      <c r="C59" s="33">
        <v>0</v>
      </c>
      <c r="D59" s="34">
        <v>0</v>
      </c>
      <c r="E59" s="35">
        <v>0</v>
      </c>
      <c r="F59" s="34">
        <v>0</v>
      </c>
      <c r="G59" s="36">
        <v>0</v>
      </c>
      <c r="H59" s="37">
        <v>0</v>
      </c>
      <c r="I59" s="38">
        <v>0</v>
      </c>
      <c r="J59" s="39">
        <v>0</v>
      </c>
      <c r="K59" s="38">
        <v>0</v>
      </c>
      <c r="L59" s="39">
        <v>0</v>
      </c>
      <c r="V59" s="16" t="s">
        <v>17</v>
      </c>
      <c r="W59" s="17">
        <v>2024</v>
      </c>
      <c r="X59" s="49">
        <v>1</v>
      </c>
    </row>
    <row r="60" spans="1:24" x14ac:dyDescent="0.3">
      <c r="A60" s="7">
        <v>2025</v>
      </c>
      <c r="B60" s="7" t="s">
        <v>17</v>
      </c>
      <c r="C60" s="33">
        <v>0</v>
      </c>
      <c r="D60" s="34">
        <v>0</v>
      </c>
      <c r="E60" s="35">
        <v>0</v>
      </c>
      <c r="F60" s="34">
        <v>0</v>
      </c>
      <c r="G60" s="36">
        <v>0</v>
      </c>
      <c r="H60" s="37">
        <v>0</v>
      </c>
      <c r="I60" s="38">
        <v>0</v>
      </c>
      <c r="J60" s="39">
        <v>0</v>
      </c>
      <c r="K60" s="38">
        <v>0</v>
      </c>
      <c r="L60" s="39">
        <v>0</v>
      </c>
      <c r="V60" s="16" t="s">
        <v>17</v>
      </c>
      <c r="W60" s="17">
        <v>2025</v>
      </c>
      <c r="X60" s="49">
        <v>1</v>
      </c>
    </row>
    <row r="61" spans="1:24" x14ac:dyDescent="0.3">
      <c r="A61" s="7">
        <v>2026</v>
      </c>
      <c r="B61" s="7" t="s">
        <v>17</v>
      </c>
      <c r="C61" s="33">
        <v>0</v>
      </c>
      <c r="D61" s="34">
        <v>0</v>
      </c>
      <c r="E61" s="35">
        <v>0</v>
      </c>
      <c r="F61" s="34">
        <v>0</v>
      </c>
      <c r="G61" s="36">
        <v>0</v>
      </c>
      <c r="H61" s="37">
        <v>0</v>
      </c>
      <c r="I61" s="38">
        <v>0</v>
      </c>
      <c r="J61" s="39">
        <v>0</v>
      </c>
      <c r="K61" s="38">
        <v>0</v>
      </c>
      <c r="L61" s="39">
        <v>0</v>
      </c>
      <c r="V61" s="16" t="s">
        <v>17</v>
      </c>
      <c r="W61" s="17">
        <v>2026</v>
      </c>
      <c r="X61" s="49">
        <v>1</v>
      </c>
    </row>
    <row r="62" spans="1:24" x14ac:dyDescent="0.3">
      <c r="A62" s="7">
        <v>2017</v>
      </c>
      <c r="B62" s="7" t="s">
        <v>18</v>
      </c>
      <c r="C62" s="33">
        <v>0</v>
      </c>
      <c r="D62" s="34">
        <v>0</v>
      </c>
      <c r="E62" s="35">
        <v>0</v>
      </c>
      <c r="F62" s="34">
        <v>0</v>
      </c>
      <c r="G62" s="36">
        <v>0</v>
      </c>
      <c r="H62" s="37">
        <v>0</v>
      </c>
      <c r="I62" s="38">
        <v>0</v>
      </c>
      <c r="J62" s="39">
        <v>0</v>
      </c>
      <c r="K62" s="38">
        <v>0</v>
      </c>
      <c r="L62" s="39">
        <v>0</v>
      </c>
      <c r="V62" s="16" t="s">
        <v>18</v>
      </c>
      <c r="W62" s="17">
        <v>2017</v>
      </c>
      <c r="X62" s="49">
        <v>1</v>
      </c>
    </row>
    <row r="63" spans="1:24" x14ac:dyDescent="0.3">
      <c r="A63" s="7">
        <v>2018</v>
      </c>
      <c r="B63" s="7" t="s">
        <v>18</v>
      </c>
      <c r="C63" s="33">
        <v>0</v>
      </c>
      <c r="D63" s="34">
        <v>0</v>
      </c>
      <c r="E63" s="35">
        <v>0</v>
      </c>
      <c r="F63" s="34">
        <v>0</v>
      </c>
      <c r="G63" s="36">
        <v>0</v>
      </c>
      <c r="H63" s="37">
        <v>0</v>
      </c>
      <c r="I63" s="38">
        <v>0</v>
      </c>
      <c r="J63" s="39">
        <v>0</v>
      </c>
      <c r="K63" s="38">
        <v>0</v>
      </c>
      <c r="L63" s="39">
        <v>0</v>
      </c>
      <c r="V63" s="16" t="s">
        <v>18</v>
      </c>
      <c r="W63" s="17">
        <v>2018</v>
      </c>
      <c r="X63" s="49">
        <v>1</v>
      </c>
    </row>
    <row r="64" spans="1:24" x14ac:dyDescent="0.3">
      <c r="A64" s="7">
        <v>2019</v>
      </c>
      <c r="B64" s="7" t="s">
        <v>18</v>
      </c>
      <c r="C64" s="33">
        <v>0</v>
      </c>
      <c r="D64" s="34">
        <v>0</v>
      </c>
      <c r="E64" s="35">
        <v>0</v>
      </c>
      <c r="F64" s="34">
        <v>0</v>
      </c>
      <c r="G64" s="36">
        <v>0</v>
      </c>
      <c r="H64" s="37">
        <v>0</v>
      </c>
      <c r="I64" s="38">
        <v>0</v>
      </c>
      <c r="J64" s="39">
        <v>0</v>
      </c>
      <c r="K64" s="38">
        <v>0</v>
      </c>
      <c r="L64" s="39">
        <v>0</v>
      </c>
      <c r="V64" s="16" t="s">
        <v>18</v>
      </c>
      <c r="W64" s="17">
        <v>2019</v>
      </c>
      <c r="X64" s="49">
        <v>1</v>
      </c>
    </row>
    <row r="65" spans="1:24" x14ac:dyDescent="0.3">
      <c r="A65" s="7">
        <v>2020</v>
      </c>
      <c r="B65" s="7" t="s">
        <v>18</v>
      </c>
      <c r="C65" s="33">
        <v>0</v>
      </c>
      <c r="D65" s="34">
        <v>0</v>
      </c>
      <c r="E65" s="35">
        <v>0</v>
      </c>
      <c r="F65" s="34">
        <v>0</v>
      </c>
      <c r="G65" s="36">
        <v>0</v>
      </c>
      <c r="H65" s="37">
        <v>0</v>
      </c>
      <c r="I65" s="38">
        <v>0</v>
      </c>
      <c r="J65" s="39">
        <v>0</v>
      </c>
      <c r="K65" s="38">
        <v>0</v>
      </c>
      <c r="L65" s="39">
        <v>0</v>
      </c>
      <c r="V65" s="16" t="s">
        <v>18</v>
      </c>
      <c r="W65" s="17">
        <v>2020</v>
      </c>
      <c r="X65" s="49">
        <v>1</v>
      </c>
    </row>
    <row r="66" spans="1:24" x14ac:dyDescent="0.3">
      <c r="A66" s="7">
        <v>2021</v>
      </c>
      <c r="B66" s="7" t="s">
        <v>18</v>
      </c>
      <c r="C66" s="33">
        <v>0</v>
      </c>
      <c r="D66" s="34">
        <v>0</v>
      </c>
      <c r="E66" s="35">
        <v>0</v>
      </c>
      <c r="F66" s="34">
        <v>0</v>
      </c>
      <c r="G66" s="36">
        <v>0</v>
      </c>
      <c r="H66" s="37">
        <v>0</v>
      </c>
      <c r="I66" s="38">
        <v>0</v>
      </c>
      <c r="J66" s="39">
        <v>0</v>
      </c>
      <c r="K66" s="38">
        <v>0</v>
      </c>
      <c r="L66" s="39">
        <v>0</v>
      </c>
      <c r="V66" s="16" t="s">
        <v>18</v>
      </c>
      <c r="W66" s="17">
        <v>2021</v>
      </c>
      <c r="X66" s="49">
        <v>1</v>
      </c>
    </row>
    <row r="67" spans="1:24" x14ac:dyDescent="0.3">
      <c r="A67" s="7">
        <v>2022</v>
      </c>
      <c r="B67" s="7" t="s">
        <v>18</v>
      </c>
      <c r="C67" s="33">
        <v>0</v>
      </c>
      <c r="D67" s="34">
        <v>0</v>
      </c>
      <c r="E67" s="35">
        <v>0</v>
      </c>
      <c r="F67" s="34">
        <v>0</v>
      </c>
      <c r="G67" s="36">
        <v>0</v>
      </c>
      <c r="H67" s="37">
        <v>0</v>
      </c>
      <c r="I67" s="38">
        <v>0</v>
      </c>
      <c r="J67" s="39">
        <v>0</v>
      </c>
      <c r="K67" s="38">
        <v>0</v>
      </c>
      <c r="L67" s="39">
        <v>0</v>
      </c>
      <c r="V67" s="16" t="s">
        <v>18</v>
      </c>
      <c r="W67" s="17">
        <v>2022</v>
      </c>
      <c r="X67" s="49">
        <v>1</v>
      </c>
    </row>
    <row r="68" spans="1:24" x14ac:dyDescent="0.3">
      <c r="A68" s="7">
        <v>2023</v>
      </c>
      <c r="B68" s="7" t="s">
        <v>18</v>
      </c>
      <c r="C68" s="33">
        <v>0</v>
      </c>
      <c r="D68" s="34">
        <v>0</v>
      </c>
      <c r="E68" s="35">
        <v>0</v>
      </c>
      <c r="F68" s="34">
        <v>0</v>
      </c>
      <c r="G68" s="36">
        <v>0</v>
      </c>
      <c r="H68" s="37">
        <v>0</v>
      </c>
      <c r="I68" s="38">
        <v>0</v>
      </c>
      <c r="J68" s="39">
        <v>0</v>
      </c>
      <c r="K68" s="38">
        <v>0</v>
      </c>
      <c r="L68" s="39">
        <v>0</v>
      </c>
      <c r="V68" s="16" t="s">
        <v>18</v>
      </c>
      <c r="W68" s="17">
        <v>2023</v>
      </c>
      <c r="X68" s="49">
        <v>1</v>
      </c>
    </row>
    <row r="69" spans="1:24" x14ac:dyDescent="0.3">
      <c r="A69" s="7">
        <v>2024</v>
      </c>
      <c r="B69" s="7" t="s">
        <v>18</v>
      </c>
      <c r="C69" s="33">
        <v>0</v>
      </c>
      <c r="D69" s="34">
        <v>0</v>
      </c>
      <c r="E69" s="35">
        <v>0</v>
      </c>
      <c r="F69" s="34">
        <v>0</v>
      </c>
      <c r="G69" s="36">
        <v>0</v>
      </c>
      <c r="H69" s="37">
        <v>0</v>
      </c>
      <c r="I69" s="38">
        <v>0</v>
      </c>
      <c r="J69" s="39">
        <v>0</v>
      </c>
      <c r="K69" s="38">
        <v>0</v>
      </c>
      <c r="L69" s="39">
        <v>0</v>
      </c>
      <c r="V69" s="16" t="s">
        <v>18</v>
      </c>
      <c r="W69" s="17">
        <v>2024</v>
      </c>
      <c r="X69" s="49">
        <v>1</v>
      </c>
    </row>
    <row r="70" spans="1:24" x14ac:dyDescent="0.3">
      <c r="A70" s="7">
        <v>2025</v>
      </c>
      <c r="B70" s="7" t="s">
        <v>18</v>
      </c>
      <c r="C70" s="33">
        <v>0</v>
      </c>
      <c r="D70" s="34">
        <v>0</v>
      </c>
      <c r="E70" s="35">
        <v>0</v>
      </c>
      <c r="F70" s="34">
        <v>0</v>
      </c>
      <c r="G70" s="36">
        <v>0</v>
      </c>
      <c r="H70" s="37">
        <v>0</v>
      </c>
      <c r="I70" s="38">
        <v>0</v>
      </c>
      <c r="J70" s="39">
        <v>0</v>
      </c>
      <c r="K70" s="38">
        <v>0</v>
      </c>
      <c r="L70" s="39">
        <v>0</v>
      </c>
      <c r="V70" s="16" t="s">
        <v>18</v>
      </c>
      <c r="W70" s="17">
        <v>2025</v>
      </c>
      <c r="X70" s="49">
        <v>1</v>
      </c>
    </row>
    <row r="71" spans="1:24" x14ac:dyDescent="0.3">
      <c r="A71" s="7">
        <v>2026</v>
      </c>
      <c r="B71" s="7" t="s">
        <v>18</v>
      </c>
      <c r="C71" s="33">
        <v>0</v>
      </c>
      <c r="D71" s="34">
        <v>0</v>
      </c>
      <c r="E71" s="35">
        <v>0</v>
      </c>
      <c r="F71" s="34">
        <v>0</v>
      </c>
      <c r="G71" s="36">
        <v>0</v>
      </c>
      <c r="H71" s="37">
        <v>0</v>
      </c>
      <c r="I71" s="38">
        <v>0</v>
      </c>
      <c r="J71" s="39">
        <v>0</v>
      </c>
      <c r="K71" s="38">
        <v>0</v>
      </c>
      <c r="L71" s="39">
        <v>0</v>
      </c>
      <c r="V71" s="16" t="s">
        <v>18</v>
      </c>
      <c r="W71" s="17">
        <v>2026</v>
      </c>
      <c r="X71" s="49">
        <v>1</v>
      </c>
    </row>
    <row r="72" spans="1:24" x14ac:dyDescent="0.3">
      <c r="A72" s="7">
        <v>2017</v>
      </c>
      <c r="B72" s="7" t="s">
        <v>19</v>
      </c>
      <c r="C72" s="33">
        <v>0</v>
      </c>
      <c r="D72" s="34">
        <v>0</v>
      </c>
      <c r="E72" s="35">
        <v>0</v>
      </c>
      <c r="F72" s="34">
        <v>0</v>
      </c>
      <c r="G72" s="36">
        <v>0</v>
      </c>
      <c r="H72" s="37">
        <v>0</v>
      </c>
      <c r="I72" s="38">
        <v>0</v>
      </c>
      <c r="J72" s="39">
        <v>0</v>
      </c>
      <c r="K72" s="38">
        <v>0</v>
      </c>
      <c r="L72" s="39">
        <v>0</v>
      </c>
      <c r="V72" s="16" t="s">
        <v>19</v>
      </c>
      <c r="W72" s="17">
        <v>2017</v>
      </c>
      <c r="X72" s="49">
        <v>1</v>
      </c>
    </row>
    <row r="73" spans="1:24" x14ac:dyDescent="0.3">
      <c r="A73" s="7">
        <v>2018</v>
      </c>
      <c r="B73" s="7" t="s">
        <v>19</v>
      </c>
      <c r="C73" s="33">
        <v>0</v>
      </c>
      <c r="D73" s="34">
        <v>0</v>
      </c>
      <c r="E73" s="35">
        <v>0</v>
      </c>
      <c r="F73" s="34">
        <v>0</v>
      </c>
      <c r="G73" s="36">
        <v>0</v>
      </c>
      <c r="H73" s="37">
        <v>0</v>
      </c>
      <c r="I73" s="38">
        <v>0</v>
      </c>
      <c r="J73" s="39">
        <v>0</v>
      </c>
      <c r="K73" s="38">
        <v>0</v>
      </c>
      <c r="L73" s="39">
        <v>0</v>
      </c>
      <c r="V73" s="16" t="s">
        <v>19</v>
      </c>
      <c r="W73" s="17">
        <v>2018</v>
      </c>
      <c r="X73" s="49">
        <v>1</v>
      </c>
    </row>
    <row r="74" spans="1:24" x14ac:dyDescent="0.3">
      <c r="A74" s="7">
        <v>2019</v>
      </c>
      <c r="B74" s="7" t="s">
        <v>19</v>
      </c>
      <c r="C74" s="33">
        <v>0</v>
      </c>
      <c r="D74" s="34">
        <v>0</v>
      </c>
      <c r="E74" s="35">
        <v>0</v>
      </c>
      <c r="F74" s="34">
        <v>0</v>
      </c>
      <c r="G74" s="36">
        <v>0</v>
      </c>
      <c r="H74" s="37">
        <v>0</v>
      </c>
      <c r="I74" s="38">
        <v>0</v>
      </c>
      <c r="J74" s="39">
        <v>0</v>
      </c>
      <c r="K74" s="38">
        <v>0</v>
      </c>
      <c r="L74" s="39">
        <v>0</v>
      </c>
      <c r="V74" s="16" t="s">
        <v>19</v>
      </c>
      <c r="W74" s="17">
        <v>2019</v>
      </c>
      <c r="X74" s="49">
        <v>1</v>
      </c>
    </row>
    <row r="75" spans="1:24" x14ac:dyDescent="0.3">
      <c r="A75" s="7">
        <v>2020</v>
      </c>
      <c r="B75" s="7" t="s">
        <v>19</v>
      </c>
      <c r="C75" s="33">
        <v>0</v>
      </c>
      <c r="D75" s="34">
        <v>0</v>
      </c>
      <c r="E75" s="35">
        <v>0</v>
      </c>
      <c r="F75" s="34">
        <v>0</v>
      </c>
      <c r="G75" s="36">
        <v>0</v>
      </c>
      <c r="H75" s="37">
        <v>0</v>
      </c>
      <c r="I75" s="38">
        <v>0</v>
      </c>
      <c r="J75" s="39">
        <v>0</v>
      </c>
      <c r="K75" s="38">
        <v>0</v>
      </c>
      <c r="L75" s="39">
        <v>0</v>
      </c>
      <c r="V75" s="16" t="s">
        <v>19</v>
      </c>
      <c r="W75" s="17">
        <v>2020</v>
      </c>
      <c r="X75" s="49">
        <v>1</v>
      </c>
    </row>
    <row r="76" spans="1:24" x14ac:dyDescent="0.3">
      <c r="A76" s="7">
        <v>2021</v>
      </c>
      <c r="B76" s="7" t="s">
        <v>19</v>
      </c>
      <c r="C76" s="33">
        <v>0</v>
      </c>
      <c r="D76" s="34">
        <v>0</v>
      </c>
      <c r="E76" s="35">
        <v>0</v>
      </c>
      <c r="F76" s="34">
        <v>0</v>
      </c>
      <c r="G76" s="36">
        <v>0</v>
      </c>
      <c r="H76" s="37">
        <v>0</v>
      </c>
      <c r="I76" s="38">
        <v>0</v>
      </c>
      <c r="J76" s="39">
        <v>0</v>
      </c>
      <c r="K76" s="38">
        <v>0</v>
      </c>
      <c r="L76" s="39">
        <v>0</v>
      </c>
      <c r="V76" s="16" t="s">
        <v>19</v>
      </c>
      <c r="W76" s="17">
        <v>2021</v>
      </c>
      <c r="X76" s="49">
        <v>1</v>
      </c>
    </row>
    <row r="77" spans="1:24" x14ac:dyDescent="0.3">
      <c r="A77" s="7">
        <v>2022</v>
      </c>
      <c r="B77" s="7" t="s">
        <v>19</v>
      </c>
      <c r="C77" s="33">
        <v>7210015.5200000005</v>
      </c>
      <c r="D77" s="34">
        <v>0</v>
      </c>
      <c r="E77" s="35">
        <v>4627413.6783306189</v>
      </c>
      <c r="F77" s="34">
        <v>0</v>
      </c>
      <c r="G77" s="36">
        <v>0</v>
      </c>
      <c r="H77" s="37">
        <v>0</v>
      </c>
      <c r="I77" s="38">
        <v>0</v>
      </c>
      <c r="J77" s="39">
        <v>0.64180356692638829</v>
      </c>
      <c r="K77" s="38">
        <v>0</v>
      </c>
      <c r="L77" s="39">
        <v>0.64180356692638829</v>
      </c>
      <c r="V77" s="16" t="s">
        <v>19</v>
      </c>
      <c r="W77" s="17">
        <v>2022</v>
      </c>
      <c r="X77" s="49">
        <v>1</v>
      </c>
    </row>
    <row r="78" spans="1:24" x14ac:dyDescent="0.3">
      <c r="A78" s="7">
        <v>2023</v>
      </c>
      <c r="B78" s="7" t="s">
        <v>19</v>
      </c>
      <c r="C78" s="33">
        <v>35933992.56000001</v>
      </c>
      <c r="D78" s="34">
        <v>-1.4551915228366852E-11</v>
      </c>
      <c r="E78" s="35">
        <v>26282542.242478296</v>
      </c>
      <c r="F78" s="34">
        <v>0</v>
      </c>
      <c r="G78" s="36">
        <v>106558.2899030149</v>
      </c>
      <c r="H78" s="37">
        <v>117141.48132013854</v>
      </c>
      <c r="I78" s="38">
        <v>106558.28990301488</v>
      </c>
      <c r="J78" s="39">
        <v>0.73437708009536318</v>
      </c>
      <c r="K78" s="38">
        <v>117141.48132013853</v>
      </c>
      <c r="L78" s="39">
        <v>0.73467159764443468</v>
      </c>
      <c r="V78" s="16" t="s">
        <v>19</v>
      </c>
      <c r="W78" s="17">
        <v>2023</v>
      </c>
      <c r="X78" s="49">
        <v>1</v>
      </c>
    </row>
    <row r="79" spans="1:24" x14ac:dyDescent="0.3">
      <c r="A79" s="7">
        <v>2024</v>
      </c>
      <c r="B79" s="7" t="s">
        <v>19</v>
      </c>
      <c r="C79" s="33">
        <v>25653950.762500003</v>
      </c>
      <c r="D79" s="34">
        <v>68050.104239244363</v>
      </c>
      <c r="E79" s="35">
        <v>16972977.072946023</v>
      </c>
      <c r="F79" s="34">
        <v>0</v>
      </c>
      <c r="G79" s="36">
        <v>1866696.3809289464</v>
      </c>
      <c r="H79" s="37">
        <v>2053753.2848809718</v>
      </c>
      <c r="I79" s="38">
        <v>1934746.4851681907</v>
      </c>
      <c r="J79" s="39">
        <v>0.73437708009536318</v>
      </c>
      <c r="K79" s="38">
        <v>2121803.389120216</v>
      </c>
      <c r="L79" s="39">
        <v>0.74166862383004051</v>
      </c>
      <c r="V79" s="16" t="s">
        <v>19</v>
      </c>
      <c r="W79" s="17">
        <v>2024</v>
      </c>
      <c r="X79" s="49">
        <v>1</v>
      </c>
    </row>
    <row r="80" spans="1:24" x14ac:dyDescent="0.3">
      <c r="A80" s="7">
        <v>2025</v>
      </c>
      <c r="B80" s="7" t="s">
        <v>19</v>
      </c>
      <c r="C80" s="33">
        <v>33793034.990000002</v>
      </c>
      <c r="D80" s="34">
        <v>777619.95262086531</v>
      </c>
      <c r="E80" s="35">
        <v>5267643.6714109853</v>
      </c>
      <c r="F80" s="34">
        <v>0</v>
      </c>
      <c r="G80" s="36">
        <v>26984178.694604032</v>
      </c>
      <c r="H80" s="37">
        <v>29828764.064571142</v>
      </c>
      <c r="I80" s="38">
        <v>27761798.647224896</v>
      </c>
      <c r="J80" s="39">
        <v>0.95439259526582743</v>
      </c>
      <c r="K80" s="38">
        <v>30606384.017192006</v>
      </c>
      <c r="L80" s="39">
        <v>1.0385692716374193</v>
      </c>
      <c r="V80" s="16" t="s">
        <v>19</v>
      </c>
      <c r="W80" s="17">
        <v>2025</v>
      </c>
      <c r="X80" s="49">
        <v>0.82465153291794147</v>
      </c>
    </row>
    <row r="81" spans="1:24" x14ac:dyDescent="0.3">
      <c r="A81" s="7">
        <v>2026</v>
      </c>
      <c r="B81" s="7" t="s">
        <v>19</v>
      </c>
      <c r="C81" s="33">
        <v>44930965.077464215</v>
      </c>
      <c r="D81" s="34">
        <v>15091.513494124471</v>
      </c>
      <c r="E81" s="35">
        <v>15091.513494124471</v>
      </c>
      <c r="F81" s="34">
        <v>0</v>
      </c>
      <c r="G81" s="36">
        <v>40716271.688472115</v>
      </c>
      <c r="H81" s="37">
        <v>45897154.895472258</v>
      </c>
      <c r="I81" s="38">
        <v>40731363.201966241</v>
      </c>
      <c r="J81" s="39">
        <v>0.90653212393151228</v>
      </c>
      <c r="K81" s="38">
        <v>45912246.408966385</v>
      </c>
      <c r="L81" s="39">
        <v>1.0218397563865003</v>
      </c>
      <c r="V81" s="16" t="s">
        <v>19</v>
      </c>
      <c r="W81" s="17">
        <v>2026</v>
      </c>
      <c r="X81" s="49">
        <v>0.16796504237591256</v>
      </c>
    </row>
    <row r="82" spans="1:24" x14ac:dyDescent="0.3">
      <c r="A82" s="7">
        <v>2017</v>
      </c>
      <c r="B82" s="7" t="s">
        <v>20</v>
      </c>
      <c r="C82" s="33">
        <v>262117.35999999996</v>
      </c>
      <c r="D82" s="34">
        <v>-1.1368683772161603E-13</v>
      </c>
      <c r="E82" s="35">
        <v>142660.66829303998</v>
      </c>
      <c r="F82" s="34">
        <v>0</v>
      </c>
      <c r="G82" s="36">
        <v>0</v>
      </c>
      <c r="H82" s="37">
        <v>0</v>
      </c>
      <c r="I82" s="38">
        <v>-1.1368683772161603E-13</v>
      </c>
      <c r="J82" s="39">
        <v>0.54426257113622689</v>
      </c>
      <c r="K82" s="38">
        <v>-1.1368683772161603E-13</v>
      </c>
      <c r="L82" s="39">
        <v>0.54426257113622689</v>
      </c>
      <c r="V82" s="16" t="s">
        <v>20</v>
      </c>
      <c r="W82" s="17">
        <v>2017</v>
      </c>
      <c r="X82" s="49">
        <v>1</v>
      </c>
    </row>
    <row r="83" spans="1:24" x14ac:dyDescent="0.3">
      <c r="A83" s="7">
        <v>2018</v>
      </c>
      <c r="B83" s="7" t="s">
        <v>20</v>
      </c>
      <c r="C83" s="33">
        <v>4600334.0900000017</v>
      </c>
      <c r="D83" s="34">
        <v>316957.86804405786</v>
      </c>
      <c r="E83" s="35">
        <v>4827068.3951154863</v>
      </c>
      <c r="F83" s="34">
        <v>0</v>
      </c>
      <c r="G83" s="36">
        <v>73953.585876795463</v>
      </c>
      <c r="H83" s="37">
        <v>81065.204302448212</v>
      </c>
      <c r="I83" s="38">
        <v>390911.45392085332</v>
      </c>
      <c r="J83" s="39">
        <v>1.0653621856825359</v>
      </c>
      <c r="K83" s="38">
        <v>398023.07234650606</v>
      </c>
      <c r="L83" s="39">
        <v>1.0669080774126847</v>
      </c>
      <c r="V83" s="16" t="s">
        <v>20</v>
      </c>
      <c r="W83" s="17">
        <v>2018</v>
      </c>
      <c r="X83" s="49">
        <v>1</v>
      </c>
    </row>
    <row r="84" spans="1:24" x14ac:dyDescent="0.3">
      <c r="A84" s="7">
        <v>2019</v>
      </c>
      <c r="B84" s="7" t="s">
        <v>20</v>
      </c>
      <c r="C84" s="33">
        <v>3340092.9199999995</v>
      </c>
      <c r="D84" s="34">
        <v>726172.78197861998</v>
      </c>
      <c r="E84" s="35">
        <v>3725317.43490256</v>
      </c>
      <c r="F84" s="34">
        <v>0</v>
      </c>
      <c r="G84" s="36">
        <v>128009.84297679365</v>
      </c>
      <c r="H84" s="37">
        <v>140319.68768797925</v>
      </c>
      <c r="I84" s="38">
        <v>854182.62495541363</v>
      </c>
      <c r="J84" s="39">
        <v>1.153658706560581</v>
      </c>
      <c r="K84" s="38">
        <v>866492.4696665993</v>
      </c>
      <c r="L84" s="39">
        <v>1.1573441862780691</v>
      </c>
      <c r="V84" s="16" t="s">
        <v>20</v>
      </c>
      <c r="W84" s="17">
        <v>2019</v>
      </c>
      <c r="X84" s="49">
        <v>1</v>
      </c>
    </row>
    <row r="85" spans="1:24" x14ac:dyDescent="0.3">
      <c r="A85" s="7">
        <v>2020</v>
      </c>
      <c r="B85" s="7" t="s">
        <v>20</v>
      </c>
      <c r="C85" s="33">
        <v>3082685.5299999993</v>
      </c>
      <c r="D85" s="34">
        <v>260717.66088982724</v>
      </c>
      <c r="E85" s="35">
        <v>3089470.1616743784</v>
      </c>
      <c r="F85" s="34">
        <v>0</v>
      </c>
      <c r="G85" s="36">
        <v>88462.247687543277</v>
      </c>
      <c r="H85" s="37">
        <v>96969.066432985433</v>
      </c>
      <c r="I85" s="38">
        <v>349179.90857737052</v>
      </c>
      <c r="J85" s="39">
        <v>1.0308973712806582</v>
      </c>
      <c r="K85" s="38">
        <v>357686.72732281266</v>
      </c>
      <c r="L85" s="39">
        <v>1.0336569192989868</v>
      </c>
      <c r="V85" s="16" t="s">
        <v>20</v>
      </c>
      <c r="W85" s="17">
        <v>2020</v>
      </c>
      <c r="X85" s="49">
        <v>1</v>
      </c>
    </row>
    <row r="86" spans="1:24" x14ac:dyDescent="0.3">
      <c r="A86" s="7">
        <v>2021</v>
      </c>
      <c r="B86" s="7" t="s">
        <v>20</v>
      </c>
      <c r="C86" s="33">
        <v>35183798.069999993</v>
      </c>
      <c r="D86" s="34">
        <v>2249366.9091951456</v>
      </c>
      <c r="E86" s="35">
        <v>27036274.740036257</v>
      </c>
      <c r="F86" s="34">
        <v>0</v>
      </c>
      <c r="G86" s="36">
        <v>570209.54642832279</v>
      </c>
      <c r="H86" s="37">
        <v>625042.75929806056</v>
      </c>
      <c r="I86" s="38">
        <v>2819576.4556234684</v>
      </c>
      <c r="J86" s="39">
        <v>0.78463627580911088</v>
      </c>
      <c r="K86" s="38">
        <v>2874409.6684932061</v>
      </c>
      <c r="L86" s="39">
        <v>0.78619475487838719</v>
      </c>
      <c r="V86" s="16" t="s">
        <v>20</v>
      </c>
      <c r="W86" s="17">
        <v>2021</v>
      </c>
      <c r="X86" s="49">
        <v>1</v>
      </c>
    </row>
    <row r="87" spans="1:24" x14ac:dyDescent="0.3">
      <c r="A87" s="7">
        <v>2022</v>
      </c>
      <c r="B87" s="7" t="s">
        <v>20</v>
      </c>
      <c r="C87" s="33">
        <v>11864800.960000003</v>
      </c>
      <c r="D87" s="34">
        <v>1884180.4517266154</v>
      </c>
      <c r="E87" s="35">
        <v>8071451.4543219944</v>
      </c>
      <c r="F87" s="34">
        <v>0</v>
      </c>
      <c r="G87" s="36">
        <v>713091.61367186625</v>
      </c>
      <c r="H87" s="37">
        <v>781664.83292611339</v>
      </c>
      <c r="I87" s="38">
        <v>2597272.0653984817</v>
      </c>
      <c r="J87" s="39">
        <v>0.74038688871472302</v>
      </c>
      <c r="K87" s="38">
        <v>2665845.2846527286</v>
      </c>
      <c r="L87" s="39">
        <v>0.74616643946196515</v>
      </c>
      <c r="V87" s="16" t="s">
        <v>20</v>
      </c>
      <c r="W87" s="17">
        <v>2022</v>
      </c>
      <c r="X87" s="49">
        <v>1</v>
      </c>
    </row>
    <row r="88" spans="1:24" x14ac:dyDescent="0.3">
      <c r="A88" s="7">
        <v>2023</v>
      </c>
      <c r="B88" s="7" t="s">
        <v>20</v>
      </c>
      <c r="C88" s="33">
        <v>10761579.620000003</v>
      </c>
      <c r="D88" s="34">
        <v>91956.65191294362</v>
      </c>
      <c r="E88" s="35">
        <v>8097862.7392556947</v>
      </c>
      <c r="F88" s="34">
        <v>0</v>
      </c>
      <c r="G88" s="36">
        <v>619016.7529443074</v>
      </c>
      <c r="H88" s="37">
        <v>678543.42624667345</v>
      </c>
      <c r="I88" s="38">
        <v>710973.40485725098</v>
      </c>
      <c r="J88" s="39">
        <v>0.80999999999999994</v>
      </c>
      <c r="K88" s="38">
        <v>770500.07815961703</v>
      </c>
      <c r="L88" s="39">
        <v>0.81553140667116719</v>
      </c>
      <c r="V88" s="16" t="s">
        <v>20</v>
      </c>
      <c r="W88" s="17">
        <v>2023</v>
      </c>
      <c r="X88" s="49">
        <v>1</v>
      </c>
    </row>
    <row r="89" spans="1:24" x14ac:dyDescent="0.3">
      <c r="A89" s="7">
        <v>2024</v>
      </c>
      <c r="B89" s="7" t="s">
        <v>20</v>
      </c>
      <c r="C89" s="33">
        <v>13178610.290622333</v>
      </c>
      <c r="D89" s="34">
        <v>841989.88189985254</v>
      </c>
      <c r="E89" s="35">
        <v>5948795.8135398328</v>
      </c>
      <c r="F89" s="34">
        <v>0</v>
      </c>
      <c r="G89" s="36">
        <v>2749086.978270907</v>
      </c>
      <c r="H89" s="37">
        <v>3013448.3030890496</v>
      </c>
      <c r="I89" s="38">
        <v>3591076.8601707593</v>
      </c>
      <c r="J89" s="39">
        <v>0.66</v>
      </c>
      <c r="K89" s="38">
        <v>3855438.184988902</v>
      </c>
      <c r="L89" s="39">
        <v>0.68005987877236618</v>
      </c>
      <c r="V89" s="16" t="s">
        <v>20</v>
      </c>
      <c r="W89" s="17">
        <v>2024</v>
      </c>
      <c r="X89" s="49">
        <v>0.99089984887170024</v>
      </c>
    </row>
    <row r="90" spans="1:24" x14ac:dyDescent="0.3">
      <c r="A90" s="7">
        <v>2025</v>
      </c>
      <c r="B90" s="7" t="s">
        <v>20</v>
      </c>
      <c r="C90" s="33">
        <v>7967683.8700000001</v>
      </c>
      <c r="D90" s="34">
        <v>184682.80981202118</v>
      </c>
      <c r="E90" s="35">
        <v>451025.35178424115</v>
      </c>
      <c r="F90" s="34">
        <v>0</v>
      </c>
      <c r="G90" s="36">
        <v>6713837.0923966272</v>
      </c>
      <c r="H90" s="37">
        <v>7373911.7812012602</v>
      </c>
      <c r="I90" s="38">
        <v>6898519.9022086486</v>
      </c>
      <c r="J90" s="39">
        <v>0.89924030133249611</v>
      </c>
      <c r="K90" s="38">
        <v>7558594.5910132816</v>
      </c>
      <c r="L90" s="39">
        <v>0.98208428705963469</v>
      </c>
      <c r="V90" s="16" t="s">
        <v>20</v>
      </c>
      <c r="W90" s="17">
        <v>2025</v>
      </c>
      <c r="X90" s="49">
        <v>0.9881751909259523</v>
      </c>
    </row>
    <row r="91" spans="1:24" x14ac:dyDescent="0.3">
      <c r="A91" s="7">
        <v>2026</v>
      </c>
      <c r="B91" s="7" t="s">
        <v>20</v>
      </c>
      <c r="C91" s="33">
        <v>10593772.527894657</v>
      </c>
      <c r="D91" s="34">
        <v>0</v>
      </c>
      <c r="E91" s="35">
        <v>0</v>
      </c>
      <c r="F91" s="34">
        <v>0</v>
      </c>
      <c r="G91" s="36">
        <v>9361186.1336380467</v>
      </c>
      <c r="H91" s="37">
        <v>10405917.282548457</v>
      </c>
      <c r="I91" s="38">
        <v>9361186.1336380467</v>
      </c>
      <c r="J91" s="39">
        <v>0.8836499093206821</v>
      </c>
      <c r="K91" s="38">
        <v>10405917.282548457</v>
      </c>
      <c r="L91" s="39">
        <v>0.98226738918061962</v>
      </c>
      <c r="V91" s="16" t="s">
        <v>20</v>
      </c>
      <c r="W91" s="17">
        <v>2026</v>
      </c>
      <c r="X91" s="49">
        <v>0.46282794412866285</v>
      </c>
    </row>
    <row r="92" spans="1:24" x14ac:dyDescent="0.3">
      <c r="A92" s="7">
        <v>2017</v>
      </c>
      <c r="B92" s="7" t="s">
        <v>21</v>
      </c>
      <c r="C92" s="33">
        <v>0</v>
      </c>
      <c r="D92" s="34">
        <v>0</v>
      </c>
      <c r="E92" s="35">
        <v>0</v>
      </c>
      <c r="F92" s="34">
        <v>0</v>
      </c>
      <c r="G92" s="36">
        <v>0</v>
      </c>
      <c r="H92" s="37">
        <v>0</v>
      </c>
      <c r="I92" s="38">
        <v>0</v>
      </c>
      <c r="J92" s="39">
        <v>0</v>
      </c>
      <c r="K92" s="38">
        <v>0</v>
      </c>
      <c r="L92" s="39">
        <v>0</v>
      </c>
      <c r="V92" s="16" t="s">
        <v>21</v>
      </c>
      <c r="W92" s="17">
        <v>2017</v>
      </c>
      <c r="X92" s="49">
        <v>1</v>
      </c>
    </row>
    <row r="93" spans="1:24" x14ac:dyDescent="0.3">
      <c r="A93" s="7">
        <v>2018</v>
      </c>
      <c r="B93" s="7" t="s">
        <v>21</v>
      </c>
      <c r="C93" s="33">
        <v>0</v>
      </c>
      <c r="D93" s="34">
        <v>0</v>
      </c>
      <c r="E93" s="35">
        <v>0</v>
      </c>
      <c r="F93" s="34">
        <v>0</v>
      </c>
      <c r="G93" s="36">
        <v>0</v>
      </c>
      <c r="H93" s="37">
        <v>0</v>
      </c>
      <c r="I93" s="38">
        <v>0</v>
      </c>
      <c r="J93" s="39">
        <v>0</v>
      </c>
      <c r="K93" s="38">
        <v>0</v>
      </c>
      <c r="L93" s="39">
        <v>0</v>
      </c>
      <c r="V93" s="16" t="s">
        <v>21</v>
      </c>
      <c r="W93" s="17">
        <v>2018</v>
      </c>
      <c r="X93" s="49">
        <v>1</v>
      </c>
    </row>
    <row r="94" spans="1:24" x14ac:dyDescent="0.3">
      <c r="A94" s="7">
        <v>2019</v>
      </c>
      <c r="B94" s="7" t="s">
        <v>21</v>
      </c>
      <c r="C94" s="33">
        <v>0</v>
      </c>
      <c r="D94" s="34">
        <v>0</v>
      </c>
      <c r="E94" s="35">
        <v>0</v>
      </c>
      <c r="F94" s="34">
        <v>0</v>
      </c>
      <c r="G94" s="36">
        <v>0</v>
      </c>
      <c r="H94" s="37">
        <v>0</v>
      </c>
      <c r="I94" s="38">
        <v>0</v>
      </c>
      <c r="J94" s="39">
        <v>0</v>
      </c>
      <c r="K94" s="38">
        <v>0</v>
      </c>
      <c r="L94" s="39">
        <v>0</v>
      </c>
      <c r="V94" s="16" t="s">
        <v>21</v>
      </c>
      <c r="W94" s="17">
        <v>2019</v>
      </c>
      <c r="X94" s="49">
        <v>1</v>
      </c>
    </row>
    <row r="95" spans="1:24" x14ac:dyDescent="0.3">
      <c r="A95" s="7">
        <v>2020</v>
      </c>
      <c r="B95" s="7" t="s">
        <v>21</v>
      </c>
      <c r="C95" s="33">
        <v>0</v>
      </c>
      <c r="D95" s="34">
        <v>0</v>
      </c>
      <c r="E95" s="35">
        <v>0</v>
      </c>
      <c r="F95" s="34">
        <v>0</v>
      </c>
      <c r="G95" s="36">
        <v>0</v>
      </c>
      <c r="H95" s="37">
        <v>0</v>
      </c>
      <c r="I95" s="38">
        <v>0</v>
      </c>
      <c r="J95" s="39">
        <v>0</v>
      </c>
      <c r="K95" s="38">
        <v>0</v>
      </c>
      <c r="L95" s="39">
        <v>0</v>
      </c>
      <c r="V95" s="16" t="s">
        <v>21</v>
      </c>
      <c r="W95" s="17">
        <v>2020</v>
      </c>
      <c r="X95" s="49">
        <v>1</v>
      </c>
    </row>
    <row r="96" spans="1:24" x14ac:dyDescent="0.3">
      <c r="A96" s="7">
        <v>2021</v>
      </c>
      <c r="B96" s="7" t="s">
        <v>21</v>
      </c>
      <c r="C96" s="33">
        <v>0</v>
      </c>
      <c r="D96" s="34">
        <v>0</v>
      </c>
      <c r="E96" s="35">
        <v>0</v>
      </c>
      <c r="F96" s="34">
        <v>0</v>
      </c>
      <c r="G96" s="36">
        <v>0</v>
      </c>
      <c r="H96" s="37">
        <v>0</v>
      </c>
      <c r="I96" s="38">
        <v>0</v>
      </c>
      <c r="J96" s="39">
        <v>0</v>
      </c>
      <c r="K96" s="38">
        <v>0</v>
      </c>
      <c r="L96" s="39">
        <v>0</v>
      </c>
      <c r="V96" s="16" t="s">
        <v>21</v>
      </c>
      <c r="W96" s="17">
        <v>2021</v>
      </c>
      <c r="X96" s="49">
        <v>1</v>
      </c>
    </row>
    <row r="97" spans="1:24" x14ac:dyDescent="0.3">
      <c r="A97" s="7">
        <v>2022</v>
      </c>
      <c r="B97" s="7" t="s">
        <v>21</v>
      </c>
      <c r="C97" s="33">
        <v>0</v>
      </c>
      <c r="D97" s="34">
        <v>0</v>
      </c>
      <c r="E97" s="35">
        <v>0</v>
      </c>
      <c r="F97" s="34">
        <v>0</v>
      </c>
      <c r="G97" s="36">
        <v>0</v>
      </c>
      <c r="H97" s="37">
        <v>0</v>
      </c>
      <c r="I97" s="38">
        <v>0</v>
      </c>
      <c r="J97" s="39">
        <v>0</v>
      </c>
      <c r="K97" s="38">
        <v>0</v>
      </c>
      <c r="L97" s="39">
        <v>0</v>
      </c>
      <c r="V97" s="16" t="s">
        <v>21</v>
      </c>
      <c r="W97" s="17">
        <v>2022</v>
      </c>
      <c r="X97" s="49">
        <v>1</v>
      </c>
    </row>
    <row r="98" spans="1:24" x14ac:dyDescent="0.3">
      <c r="A98" s="7">
        <v>2023</v>
      </c>
      <c r="B98" s="7" t="s">
        <v>21</v>
      </c>
      <c r="C98" s="33">
        <v>0</v>
      </c>
      <c r="D98" s="34">
        <v>0</v>
      </c>
      <c r="E98" s="35">
        <v>0</v>
      </c>
      <c r="F98" s="34">
        <v>0</v>
      </c>
      <c r="G98" s="36">
        <v>0</v>
      </c>
      <c r="H98" s="37">
        <v>0</v>
      </c>
      <c r="I98" s="38">
        <v>0</v>
      </c>
      <c r="J98" s="39">
        <v>0</v>
      </c>
      <c r="K98" s="38">
        <v>0</v>
      </c>
      <c r="L98" s="39">
        <v>0</v>
      </c>
      <c r="V98" s="16" t="s">
        <v>21</v>
      </c>
      <c r="W98" s="17">
        <v>2023</v>
      </c>
      <c r="X98" s="49">
        <v>1</v>
      </c>
    </row>
    <row r="99" spans="1:24" x14ac:dyDescent="0.3">
      <c r="A99" s="7">
        <v>2024</v>
      </c>
      <c r="B99" s="7" t="s">
        <v>21</v>
      </c>
      <c r="C99" s="33">
        <v>2757866.0100000002</v>
      </c>
      <c r="D99" s="34">
        <v>0</v>
      </c>
      <c r="E99" s="35">
        <v>175793.56256564998</v>
      </c>
      <c r="F99" s="34">
        <v>0</v>
      </c>
      <c r="G99" s="36">
        <v>1378217.3152896329</v>
      </c>
      <c r="H99" s="37">
        <v>1459040.2708412569</v>
      </c>
      <c r="I99" s="38">
        <v>1378217.3152896329</v>
      </c>
      <c r="J99" s="39">
        <v>0.56348309606792046</v>
      </c>
      <c r="K99" s="38">
        <v>1459040.2708412569</v>
      </c>
      <c r="L99" s="39">
        <v>0.59278943483077584</v>
      </c>
      <c r="V99" s="16" t="s">
        <v>21</v>
      </c>
      <c r="W99" s="17">
        <v>2024</v>
      </c>
      <c r="X99" s="49">
        <v>1</v>
      </c>
    </row>
    <row r="100" spans="1:24" x14ac:dyDescent="0.3">
      <c r="A100" s="7">
        <v>2025</v>
      </c>
      <c r="B100" s="7" t="s">
        <v>21</v>
      </c>
      <c r="C100" s="33">
        <v>20121643.950000003</v>
      </c>
      <c r="D100" s="34">
        <v>0</v>
      </c>
      <c r="E100" s="35">
        <v>8868449.0715820901</v>
      </c>
      <c r="F100" s="34">
        <v>0</v>
      </c>
      <c r="G100" s="36">
        <v>4878086.5881655887</v>
      </c>
      <c r="H100" s="37">
        <v>5165308.3962366115</v>
      </c>
      <c r="I100" s="38">
        <v>4878086.5881655887</v>
      </c>
      <c r="J100" s="39">
        <v>0.68317159839952724</v>
      </c>
      <c r="K100" s="38">
        <v>5165308.3962366115</v>
      </c>
      <c r="L100" s="39">
        <v>0.69744586986485757</v>
      </c>
      <c r="V100" s="16" t="s">
        <v>21</v>
      </c>
      <c r="W100" s="17">
        <v>2025</v>
      </c>
      <c r="X100" s="49">
        <v>1</v>
      </c>
    </row>
    <row r="101" spans="1:24" x14ac:dyDescent="0.3">
      <c r="A101" s="7">
        <v>2026</v>
      </c>
      <c r="B101" s="7" t="s">
        <v>21</v>
      </c>
      <c r="C101" s="33">
        <v>26753586.408742361</v>
      </c>
      <c r="D101" s="34">
        <v>0</v>
      </c>
      <c r="E101" s="35">
        <v>0</v>
      </c>
      <c r="F101" s="34">
        <v>0</v>
      </c>
      <c r="G101" s="36">
        <v>16537328.191621587</v>
      </c>
      <c r="H101" s="37">
        <v>17551045.768804524</v>
      </c>
      <c r="I101" s="38">
        <v>16537328.191621587</v>
      </c>
      <c r="J101" s="39">
        <v>0.61813500212508432</v>
      </c>
      <c r="K101" s="38">
        <v>17551045.768804524</v>
      </c>
      <c r="L101" s="39">
        <v>0.65602590623398849</v>
      </c>
      <c r="V101" s="16" t="s">
        <v>21</v>
      </c>
      <c r="W101" s="17">
        <v>2026</v>
      </c>
      <c r="X101" s="49">
        <v>0.49450549450549458</v>
      </c>
    </row>
    <row r="102" spans="1:24" x14ac:dyDescent="0.3">
      <c r="A102" s="7">
        <v>2017</v>
      </c>
      <c r="B102" s="7" t="s">
        <v>22</v>
      </c>
      <c r="C102" s="33">
        <v>0</v>
      </c>
      <c r="D102" s="34">
        <v>0</v>
      </c>
      <c r="E102" s="35">
        <v>0</v>
      </c>
      <c r="F102" s="34">
        <v>0</v>
      </c>
      <c r="G102" s="36">
        <v>0</v>
      </c>
      <c r="H102" s="37">
        <v>0</v>
      </c>
      <c r="I102" s="38">
        <v>0</v>
      </c>
      <c r="J102" s="39">
        <v>0</v>
      </c>
      <c r="K102" s="38">
        <v>0</v>
      </c>
      <c r="L102" s="39">
        <v>0</v>
      </c>
      <c r="V102" s="16" t="s">
        <v>22</v>
      </c>
      <c r="W102" s="17">
        <v>2017</v>
      </c>
      <c r="X102" s="49">
        <v>1</v>
      </c>
    </row>
    <row r="103" spans="1:24" x14ac:dyDescent="0.3">
      <c r="A103" s="7">
        <v>2018</v>
      </c>
      <c r="B103" s="7" t="s">
        <v>22</v>
      </c>
      <c r="C103" s="33">
        <v>3513273.8799999994</v>
      </c>
      <c r="D103" s="34">
        <v>0</v>
      </c>
      <c r="E103" s="35">
        <v>2220359.5545513895</v>
      </c>
      <c r="F103" s="34">
        <v>0</v>
      </c>
      <c r="G103" s="36">
        <v>0</v>
      </c>
      <c r="H103" s="37">
        <v>0</v>
      </c>
      <c r="I103" s="38">
        <v>0</v>
      </c>
      <c r="J103" s="39">
        <v>0.63199159256874959</v>
      </c>
      <c r="K103" s="38">
        <v>0</v>
      </c>
      <c r="L103" s="39">
        <v>0.63199159256874959</v>
      </c>
      <c r="V103" s="16" t="s">
        <v>22</v>
      </c>
      <c r="W103" s="17">
        <v>2018</v>
      </c>
      <c r="X103" s="49">
        <v>1</v>
      </c>
    </row>
    <row r="104" spans="1:24" x14ac:dyDescent="0.3">
      <c r="A104" s="7">
        <v>2019</v>
      </c>
      <c r="B104" s="7" t="s">
        <v>22</v>
      </c>
      <c r="C104" s="33">
        <v>0</v>
      </c>
      <c r="D104" s="34">
        <v>0</v>
      </c>
      <c r="E104" s="35">
        <v>0</v>
      </c>
      <c r="F104" s="34">
        <v>0</v>
      </c>
      <c r="G104" s="36">
        <v>0</v>
      </c>
      <c r="H104" s="37">
        <v>0</v>
      </c>
      <c r="I104" s="38">
        <v>0</v>
      </c>
      <c r="J104" s="39">
        <v>0</v>
      </c>
      <c r="K104" s="38">
        <v>0</v>
      </c>
      <c r="L104" s="39">
        <v>0</v>
      </c>
      <c r="V104" s="16" t="s">
        <v>22</v>
      </c>
      <c r="W104" s="17">
        <v>2019</v>
      </c>
      <c r="X104" s="49">
        <v>1</v>
      </c>
    </row>
    <row r="105" spans="1:24" x14ac:dyDescent="0.3">
      <c r="A105" s="7">
        <v>2020</v>
      </c>
      <c r="B105" s="7" t="s">
        <v>22</v>
      </c>
      <c r="C105" s="33">
        <v>0</v>
      </c>
      <c r="D105" s="34">
        <v>0</v>
      </c>
      <c r="E105" s="35">
        <v>0</v>
      </c>
      <c r="F105" s="34">
        <v>0</v>
      </c>
      <c r="G105" s="36">
        <v>0</v>
      </c>
      <c r="H105" s="37">
        <v>0</v>
      </c>
      <c r="I105" s="38">
        <v>0</v>
      </c>
      <c r="J105" s="39">
        <v>0</v>
      </c>
      <c r="K105" s="38">
        <v>0</v>
      </c>
      <c r="L105" s="39">
        <v>0</v>
      </c>
      <c r="V105" s="16" t="s">
        <v>22</v>
      </c>
      <c r="W105" s="17">
        <v>2020</v>
      </c>
      <c r="X105" s="49">
        <v>1</v>
      </c>
    </row>
    <row r="106" spans="1:24" x14ac:dyDescent="0.3">
      <c r="A106" s="7">
        <v>2021</v>
      </c>
      <c r="B106" s="7" t="s">
        <v>22</v>
      </c>
      <c r="C106" s="33">
        <v>0</v>
      </c>
      <c r="D106" s="34">
        <v>0</v>
      </c>
      <c r="E106" s="35">
        <v>0</v>
      </c>
      <c r="F106" s="34">
        <v>0</v>
      </c>
      <c r="G106" s="36">
        <v>0</v>
      </c>
      <c r="H106" s="37">
        <v>0</v>
      </c>
      <c r="I106" s="38">
        <v>0</v>
      </c>
      <c r="J106" s="39">
        <v>0</v>
      </c>
      <c r="K106" s="38">
        <v>0</v>
      </c>
      <c r="L106" s="39">
        <v>0</v>
      </c>
      <c r="V106" s="16" t="s">
        <v>22</v>
      </c>
      <c r="W106" s="17">
        <v>2021</v>
      </c>
      <c r="X106" s="49">
        <v>1</v>
      </c>
    </row>
    <row r="107" spans="1:24" x14ac:dyDescent="0.3">
      <c r="A107" s="7">
        <v>2022</v>
      </c>
      <c r="B107" s="7" t="s">
        <v>22</v>
      </c>
      <c r="C107" s="33">
        <v>0</v>
      </c>
      <c r="D107" s="34">
        <v>0</v>
      </c>
      <c r="E107" s="35">
        <v>0</v>
      </c>
      <c r="F107" s="34">
        <v>0</v>
      </c>
      <c r="G107" s="36">
        <v>0</v>
      </c>
      <c r="H107" s="37">
        <v>0</v>
      </c>
      <c r="I107" s="38">
        <v>0</v>
      </c>
      <c r="J107" s="39">
        <v>0</v>
      </c>
      <c r="K107" s="38">
        <v>0</v>
      </c>
      <c r="L107" s="39">
        <v>0</v>
      </c>
      <c r="V107" s="16" t="s">
        <v>22</v>
      </c>
      <c r="W107" s="17">
        <v>2022</v>
      </c>
      <c r="X107" s="49">
        <v>1</v>
      </c>
    </row>
    <row r="108" spans="1:24" x14ac:dyDescent="0.3">
      <c r="A108" s="7">
        <v>2023</v>
      </c>
      <c r="B108" s="7" t="s">
        <v>22</v>
      </c>
      <c r="C108" s="33">
        <v>0</v>
      </c>
      <c r="D108" s="34">
        <v>0</v>
      </c>
      <c r="E108" s="35">
        <v>0</v>
      </c>
      <c r="F108" s="34">
        <v>0</v>
      </c>
      <c r="G108" s="36">
        <v>0</v>
      </c>
      <c r="H108" s="37">
        <v>0</v>
      </c>
      <c r="I108" s="38">
        <v>0</v>
      </c>
      <c r="J108" s="39">
        <v>0</v>
      </c>
      <c r="K108" s="38">
        <v>0</v>
      </c>
      <c r="L108" s="39">
        <v>0</v>
      </c>
      <c r="V108" s="16" t="s">
        <v>22</v>
      </c>
      <c r="W108" s="17">
        <v>2023</v>
      </c>
      <c r="X108" s="49">
        <v>1</v>
      </c>
    </row>
    <row r="109" spans="1:24" x14ac:dyDescent="0.3">
      <c r="A109" s="7">
        <v>2024</v>
      </c>
      <c r="B109" s="7" t="s">
        <v>22</v>
      </c>
      <c r="C109" s="33">
        <v>278067.14</v>
      </c>
      <c r="D109" s="34">
        <v>0</v>
      </c>
      <c r="E109" s="35">
        <v>185595.71417197</v>
      </c>
      <c r="F109" s="34">
        <v>0</v>
      </c>
      <c r="G109" s="36">
        <v>709.26962803001516</v>
      </c>
      <c r="H109" s="37">
        <v>808.51957833565643</v>
      </c>
      <c r="I109" s="38">
        <v>709.26962803001516</v>
      </c>
      <c r="J109" s="39">
        <v>0.67</v>
      </c>
      <c r="K109" s="38">
        <v>808.51957833565643</v>
      </c>
      <c r="L109" s="39">
        <v>0.67035692800776692</v>
      </c>
      <c r="V109" s="16" t="s">
        <v>22</v>
      </c>
      <c r="W109" s="17">
        <v>2024</v>
      </c>
      <c r="X109" s="49">
        <v>1</v>
      </c>
    </row>
    <row r="110" spans="1:24" x14ac:dyDescent="0.3">
      <c r="A110" s="7">
        <v>2025</v>
      </c>
      <c r="B110" s="7" t="s">
        <v>22</v>
      </c>
      <c r="C110" s="33">
        <v>317146.79000000004</v>
      </c>
      <c r="D110" s="34">
        <v>0</v>
      </c>
      <c r="E110" s="35">
        <v>115895.56262667</v>
      </c>
      <c r="F110" s="34">
        <v>0</v>
      </c>
      <c r="G110" s="36">
        <v>181349.13797172561</v>
      </c>
      <c r="H110" s="37">
        <v>209842.65219658692</v>
      </c>
      <c r="I110" s="38">
        <v>181349.13797172561</v>
      </c>
      <c r="J110" s="39">
        <v>0.93724644224964593</v>
      </c>
      <c r="K110" s="38">
        <v>209842.65219658692</v>
      </c>
      <c r="L110" s="39">
        <v>1.0270897423343206</v>
      </c>
      <c r="V110" s="16" t="s">
        <v>22</v>
      </c>
      <c r="W110" s="17">
        <v>2025</v>
      </c>
      <c r="X110" s="49">
        <v>0.93969896175116341</v>
      </c>
    </row>
    <row r="111" spans="1:24" x14ac:dyDescent="0.3">
      <c r="A111" s="7">
        <v>2026</v>
      </c>
      <c r="B111" s="7" t="s">
        <v>22</v>
      </c>
      <c r="C111" s="33">
        <v>421675.98589876987</v>
      </c>
      <c r="D111" s="34">
        <v>0</v>
      </c>
      <c r="E111" s="35">
        <v>0</v>
      </c>
      <c r="F111" s="34">
        <v>0</v>
      </c>
      <c r="G111" s="36">
        <v>376282.3520118703</v>
      </c>
      <c r="H111" s="37">
        <v>438071.94686307415</v>
      </c>
      <c r="I111" s="38">
        <v>376282.3520118703</v>
      </c>
      <c r="J111" s="39">
        <v>0.89234949248972162</v>
      </c>
      <c r="K111" s="38">
        <v>438071.94686307415</v>
      </c>
      <c r="L111" s="39">
        <v>1.0388828425440391</v>
      </c>
      <c r="V111" s="16" t="s">
        <v>22</v>
      </c>
      <c r="W111" s="17">
        <v>2026</v>
      </c>
      <c r="X111" s="49">
        <v>0.49450549450549453</v>
      </c>
    </row>
    <row r="112" spans="1:24" x14ac:dyDescent="0.3">
      <c r="A112" s="7">
        <v>2017</v>
      </c>
      <c r="B112" s="7" t="s">
        <v>23</v>
      </c>
      <c r="C112" s="33">
        <v>4599940.0899999989</v>
      </c>
      <c r="D112" s="34">
        <v>7268.0283777702643</v>
      </c>
      <c r="E112" s="35">
        <v>1906716.5571486207</v>
      </c>
      <c r="F112" s="34">
        <v>0</v>
      </c>
      <c r="G112" s="36">
        <v>0</v>
      </c>
      <c r="H112" s="37">
        <v>0</v>
      </c>
      <c r="I112" s="38">
        <v>7268.0283777702643</v>
      </c>
      <c r="J112" s="39">
        <v>0.41450899790927953</v>
      </c>
      <c r="K112" s="38">
        <v>7268.0283777702643</v>
      </c>
      <c r="L112" s="39">
        <v>0.41450899790927953</v>
      </c>
      <c r="V112" s="16" t="s">
        <v>23</v>
      </c>
      <c r="W112" s="17">
        <v>2017</v>
      </c>
      <c r="X112" s="49">
        <v>1</v>
      </c>
    </row>
    <row r="113" spans="1:24" x14ac:dyDescent="0.3">
      <c r="A113" s="7">
        <v>2018</v>
      </c>
      <c r="B113" s="7" t="s">
        <v>23</v>
      </c>
      <c r="C113" s="33">
        <v>7362550.2200000016</v>
      </c>
      <c r="D113" s="34">
        <v>1217.5231892599259</v>
      </c>
      <c r="E113" s="35">
        <v>2388283.3081183601</v>
      </c>
      <c r="F113" s="34">
        <v>0</v>
      </c>
      <c r="G113" s="36">
        <v>0</v>
      </c>
      <c r="H113" s="37">
        <v>0</v>
      </c>
      <c r="I113" s="38">
        <v>1217.5231892599259</v>
      </c>
      <c r="J113" s="39">
        <v>0.32438261699468035</v>
      </c>
      <c r="K113" s="38">
        <v>1217.5231892599259</v>
      </c>
      <c r="L113" s="39">
        <v>0.32438261699468035</v>
      </c>
      <c r="V113" s="16" t="s">
        <v>23</v>
      </c>
      <c r="W113" s="17">
        <v>2018</v>
      </c>
      <c r="X113" s="49">
        <v>1</v>
      </c>
    </row>
    <row r="114" spans="1:24" x14ac:dyDescent="0.3">
      <c r="A114" s="7">
        <v>2019</v>
      </c>
      <c r="B114" s="7" t="s">
        <v>23</v>
      </c>
      <c r="C114" s="33">
        <v>8657173.9899999965</v>
      </c>
      <c r="D114" s="34">
        <v>208443.52750978022</v>
      </c>
      <c r="E114" s="35">
        <v>2885716.6101597799</v>
      </c>
      <c r="F114" s="34">
        <v>0</v>
      </c>
      <c r="G114" s="36">
        <v>9702.9137482195856</v>
      </c>
      <c r="H114" s="37">
        <v>11400.133833318279</v>
      </c>
      <c r="I114" s="38">
        <v>218146.4412579998</v>
      </c>
      <c r="J114" s="39">
        <v>0.33445319768928439</v>
      </c>
      <c r="K114" s="38">
        <v>219843.6613430985</v>
      </c>
      <c r="L114" s="39">
        <v>0.33464924550893765</v>
      </c>
      <c r="V114" s="16" t="s">
        <v>23</v>
      </c>
      <c r="W114" s="17">
        <v>2019</v>
      </c>
      <c r="X114" s="49">
        <v>1</v>
      </c>
    </row>
    <row r="115" spans="1:24" x14ac:dyDescent="0.3">
      <c r="A115" s="7">
        <v>2020</v>
      </c>
      <c r="B115" s="7" t="s">
        <v>23</v>
      </c>
      <c r="C115" s="33">
        <v>3945670.5771920164</v>
      </c>
      <c r="D115" s="34">
        <v>0</v>
      </c>
      <c r="E115" s="35">
        <v>169818.84599999999</v>
      </c>
      <c r="F115" s="34">
        <v>0</v>
      </c>
      <c r="G115" s="36">
        <v>0</v>
      </c>
      <c r="H115" s="37">
        <v>0</v>
      </c>
      <c r="I115" s="38">
        <v>0</v>
      </c>
      <c r="J115" s="39">
        <v>4.3039286397004183E-2</v>
      </c>
      <c r="K115" s="38">
        <v>0</v>
      </c>
      <c r="L115" s="39">
        <v>4.3039286397004183E-2</v>
      </c>
      <c r="V115" s="16" t="s">
        <v>23</v>
      </c>
      <c r="W115" s="17">
        <v>2020</v>
      </c>
      <c r="X115" s="49">
        <v>1</v>
      </c>
    </row>
    <row r="116" spans="1:24" x14ac:dyDescent="0.3">
      <c r="A116" s="7">
        <v>2021</v>
      </c>
      <c r="B116" s="7" t="s">
        <v>23</v>
      </c>
      <c r="C116" s="33">
        <v>7593171.8590624658</v>
      </c>
      <c r="D116" s="34">
        <v>2044822.3152204738</v>
      </c>
      <c r="E116" s="35">
        <v>5501528.0088804737</v>
      </c>
      <c r="F116" s="34">
        <v>0</v>
      </c>
      <c r="G116" s="36">
        <v>0</v>
      </c>
      <c r="H116" s="37">
        <v>0</v>
      </c>
      <c r="I116" s="38">
        <v>2044822.3152204738</v>
      </c>
      <c r="J116" s="39">
        <v>0.72453621635264176</v>
      </c>
      <c r="K116" s="38">
        <v>2044822.3152204738</v>
      </c>
      <c r="L116" s="39">
        <v>0.72453621635264176</v>
      </c>
      <c r="V116" s="16" t="s">
        <v>23</v>
      </c>
      <c r="W116" s="17">
        <v>2021</v>
      </c>
      <c r="X116" s="49">
        <v>1</v>
      </c>
    </row>
    <row r="117" spans="1:24" x14ac:dyDescent="0.3">
      <c r="A117" s="7">
        <v>2022</v>
      </c>
      <c r="B117" s="7" t="s">
        <v>23</v>
      </c>
      <c r="C117" s="33">
        <v>5642718.4652621811</v>
      </c>
      <c r="D117" s="34">
        <v>5.0388138106427505E-11</v>
      </c>
      <c r="E117" s="35">
        <v>592899.10649999999</v>
      </c>
      <c r="F117" s="34">
        <v>0</v>
      </c>
      <c r="G117" s="36">
        <v>242407.86835481669</v>
      </c>
      <c r="H117" s="37">
        <v>284809.51322497206</v>
      </c>
      <c r="I117" s="38">
        <v>242407.86835481675</v>
      </c>
      <c r="J117" s="39">
        <v>0.14803272217055494</v>
      </c>
      <c r="K117" s="38">
        <v>284809.51322497212</v>
      </c>
      <c r="L117" s="39">
        <v>0.15554712238938373</v>
      </c>
      <c r="V117" s="16" t="s">
        <v>23</v>
      </c>
      <c r="W117" s="17">
        <v>2022</v>
      </c>
      <c r="X117" s="49">
        <v>1</v>
      </c>
    </row>
    <row r="118" spans="1:24" x14ac:dyDescent="0.3">
      <c r="A118" s="7">
        <v>2023</v>
      </c>
      <c r="B118" s="7" t="s">
        <v>23</v>
      </c>
      <c r="C118" s="33">
        <v>12988269.163884975</v>
      </c>
      <c r="D118" s="34">
        <v>1654882.5959108484</v>
      </c>
      <c r="E118" s="35">
        <v>8123358.4413358485</v>
      </c>
      <c r="F118" s="34">
        <v>0</v>
      </c>
      <c r="G118" s="36">
        <v>319016.51518938597</v>
      </c>
      <c r="H118" s="37">
        <v>374818.43728283641</v>
      </c>
      <c r="I118" s="38">
        <v>1973899.1111002343</v>
      </c>
      <c r="J118" s="39">
        <v>0.65</v>
      </c>
      <c r="K118" s="38">
        <v>2029701.0331936846</v>
      </c>
      <c r="L118" s="39">
        <v>0.65429633243578089</v>
      </c>
      <c r="V118" s="16" t="s">
        <v>23</v>
      </c>
      <c r="W118" s="17">
        <v>2023</v>
      </c>
      <c r="X118" s="49">
        <v>1</v>
      </c>
    </row>
    <row r="119" spans="1:24" x14ac:dyDescent="0.3">
      <c r="A119" s="7">
        <v>2024</v>
      </c>
      <c r="B119" s="7" t="s">
        <v>23</v>
      </c>
      <c r="C119" s="33">
        <v>7791771.902121502</v>
      </c>
      <c r="D119" s="34">
        <v>4155075.5816640249</v>
      </c>
      <c r="E119" s="35">
        <v>6886315.4222980253</v>
      </c>
      <c r="F119" s="34">
        <v>1.1641532182693481E-10</v>
      </c>
      <c r="G119" s="36">
        <v>282114.72765375662</v>
      </c>
      <c r="H119" s="37">
        <v>332032.37203260412</v>
      </c>
      <c r="I119" s="38">
        <v>4437190.3093177816</v>
      </c>
      <c r="J119" s="39">
        <v>0.92</v>
      </c>
      <c r="K119" s="38">
        <v>4487107.953696629</v>
      </c>
      <c r="L119" s="39">
        <v>0.92640645606749039</v>
      </c>
      <c r="V119" s="16" t="s">
        <v>23</v>
      </c>
      <c r="W119" s="17">
        <v>2024</v>
      </c>
      <c r="X119" s="49">
        <v>1</v>
      </c>
    </row>
    <row r="120" spans="1:24" x14ac:dyDescent="0.3">
      <c r="A120" s="7">
        <v>2025</v>
      </c>
      <c r="B120" s="7" t="s">
        <v>23</v>
      </c>
      <c r="C120" s="33">
        <v>4002338.6799999988</v>
      </c>
      <c r="D120" s="34">
        <v>1167290.0698197004</v>
      </c>
      <c r="E120" s="35">
        <v>1167290.0698197004</v>
      </c>
      <c r="F120" s="34">
        <v>0</v>
      </c>
      <c r="G120" s="36">
        <v>1354183.2985802987</v>
      </c>
      <c r="H120" s="37">
        <v>1617121.7516817199</v>
      </c>
      <c r="I120" s="38">
        <v>2521473.3683999991</v>
      </c>
      <c r="J120" s="39">
        <v>0.63</v>
      </c>
      <c r="K120" s="38">
        <v>2784411.8215014203</v>
      </c>
      <c r="L120" s="39">
        <v>0.69569620267653642</v>
      </c>
      <c r="V120" s="16" t="s">
        <v>23</v>
      </c>
      <c r="W120" s="17">
        <v>2025</v>
      </c>
      <c r="X120" s="49">
        <v>0.85512320008336762</v>
      </c>
    </row>
    <row r="121" spans="1:24" x14ac:dyDescent="0.3">
      <c r="A121" s="7">
        <v>2026</v>
      </c>
      <c r="B121" s="7" t="s">
        <v>23</v>
      </c>
      <c r="C121" s="33">
        <v>5000000</v>
      </c>
      <c r="D121" s="34">
        <v>40241.020431838988</v>
      </c>
      <c r="E121" s="35">
        <v>40241.020431838988</v>
      </c>
      <c r="F121" s="34">
        <v>0</v>
      </c>
      <c r="G121" s="36">
        <v>2709758.9795681611</v>
      </c>
      <c r="H121" s="37">
        <v>3281678.2711674417</v>
      </c>
      <c r="I121" s="38">
        <v>2750000</v>
      </c>
      <c r="J121" s="39">
        <v>0.55000000000000004</v>
      </c>
      <c r="K121" s="38">
        <v>3321919.2915992807</v>
      </c>
      <c r="L121" s="39">
        <v>0.66438385831985614</v>
      </c>
      <c r="V121" s="16" t="s">
        <v>23</v>
      </c>
      <c r="W121" s="17">
        <v>2026</v>
      </c>
      <c r="X121" s="49">
        <v>0.33504823150187263</v>
      </c>
    </row>
    <row r="122" spans="1:24" x14ac:dyDescent="0.3">
      <c r="A122" s="7">
        <v>2017</v>
      </c>
      <c r="B122" s="7" t="s">
        <v>24</v>
      </c>
      <c r="C122" s="33">
        <v>3091693.5000000005</v>
      </c>
      <c r="D122" s="34">
        <v>4065.9772449046727</v>
      </c>
      <c r="E122" s="35">
        <v>473678.86253178463</v>
      </c>
      <c r="F122" s="34">
        <v>0</v>
      </c>
      <c r="G122" s="36">
        <v>0</v>
      </c>
      <c r="H122" s="37">
        <v>0</v>
      </c>
      <c r="I122" s="38">
        <v>4065.9772449046727</v>
      </c>
      <c r="J122" s="39">
        <v>0.15321016217544997</v>
      </c>
      <c r="K122" s="38">
        <v>4065.9772449046727</v>
      </c>
      <c r="L122" s="39">
        <v>0.15321016217544997</v>
      </c>
      <c r="V122" s="16" t="s">
        <v>24</v>
      </c>
      <c r="W122" s="17">
        <v>2017</v>
      </c>
      <c r="X122" s="49">
        <v>1</v>
      </c>
    </row>
    <row r="123" spans="1:24" x14ac:dyDescent="0.3">
      <c r="A123" s="7">
        <v>2018</v>
      </c>
      <c r="B123" s="7" t="s">
        <v>24</v>
      </c>
      <c r="C123" s="33">
        <v>6942531.9799999977</v>
      </c>
      <c r="D123" s="34">
        <v>4320.2596089460021</v>
      </c>
      <c r="E123" s="35">
        <v>3010876.698374196</v>
      </c>
      <c r="F123" s="34">
        <v>0</v>
      </c>
      <c r="G123" s="36">
        <v>0</v>
      </c>
      <c r="H123" s="37">
        <v>0</v>
      </c>
      <c r="I123" s="38">
        <v>4320.2596089460021</v>
      </c>
      <c r="J123" s="39">
        <v>0.43368567938151537</v>
      </c>
      <c r="K123" s="38">
        <v>4320.2596089460021</v>
      </c>
      <c r="L123" s="39">
        <v>0.43368567938151537</v>
      </c>
      <c r="V123" s="16" t="s">
        <v>24</v>
      </c>
      <c r="W123" s="17">
        <v>2018</v>
      </c>
      <c r="X123" s="49">
        <v>1</v>
      </c>
    </row>
    <row r="124" spans="1:24" x14ac:dyDescent="0.3">
      <c r="A124" s="7">
        <v>2019</v>
      </c>
      <c r="B124" s="7" t="s">
        <v>24</v>
      </c>
      <c r="C124" s="33">
        <v>6227506.209999999</v>
      </c>
      <c r="D124" s="34">
        <v>363867.34595252329</v>
      </c>
      <c r="E124" s="35">
        <v>1982168.4664900331</v>
      </c>
      <c r="F124" s="34">
        <v>0</v>
      </c>
      <c r="G124" s="36">
        <v>0</v>
      </c>
      <c r="H124" s="37">
        <v>0</v>
      </c>
      <c r="I124" s="38">
        <v>363867.34595252329</v>
      </c>
      <c r="J124" s="39">
        <v>0.31829249135185261</v>
      </c>
      <c r="K124" s="38">
        <v>363867.34595252329</v>
      </c>
      <c r="L124" s="39">
        <v>0.31829249135185261</v>
      </c>
      <c r="V124" s="16" t="s">
        <v>24</v>
      </c>
      <c r="W124" s="17">
        <v>2019</v>
      </c>
      <c r="X124" s="49">
        <v>1</v>
      </c>
    </row>
    <row r="125" spans="1:24" x14ac:dyDescent="0.3">
      <c r="A125" s="7">
        <v>2020</v>
      </c>
      <c r="B125" s="7" t="s">
        <v>24</v>
      </c>
      <c r="C125" s="33">
        <v>1884378.2600000005</v>
      </c>
      <c r="D125" s="34">
        <v>120404.92359688602</v>
      </c>
      <c r="E125" s="35">
        <v>447540.23792188603</v>
      </c>
      <c r="F125" s="34">
        <v>0</v>
      </c>
      <c r="G125" s="36">
        <v>4574.5965407229705</v>
      </c>
      <c r="H125" s="37">
        <v>5247.6589225501448</v>
      </c>
      <c r="I125" s="38">
        <v>124979.52013760898</v>
      </c>
      <c r="J125" s="39">
        <v>0.23992785528241495</v>
      </c>
      <c r="K125" s="38">
        <v>125652.58251943617</v>
      </c>
      <c r="L125" s="39">
        <v>0.24028503536462795</v>
      </c>
      <c r="V125" s="16" t="s">
        <v>24</v>
      </c>
      <c r="W125" s="17">
        <v>2020</v>
      </c>
      <c r="X125" s="49">
        <v>1</v>
      </c>
    </row>
    <row r="126" spans="1:24" x14ac:dyDescent="0.3">
      <c r="A126" s="7">
        <v>2021</v>
      </c>
      <c r="B126" s="7" t="s">
        <v>24</v>
      </c>
      <c r="C126" s="33">
        <v>7788287.040000001</v>
      </c>
      <c r="D126" s="34">
        <v>297848.37989945873</v>
      </c>
      <c r="E126" s="35">
        <v>3032537.0768231489</v>
      </c>
      <c r="F126" s="34">
        <v>685104.34710126638</v>
      </c>
      <c r="G126" s="36">
        <v>31500.110434435246</v>
      </c>
      <c r="H126" s="37">
        <v>36134.73540476527</v>
      </c>
      <c r="I126" s="38">
        <v>1014452.8374351603</v>
      </c>
      <c r="J126" s="39">
        <v>0.48138204397238682</v>
      </c>
      <c r="K126" s="38">
        <v>1019087.4624054903</v>
      </c>
      <c r="L126" s="39">
        <v>0.4819771202640703</v>
      </c>
      <c r="V126" s="16" t="s">
        <v>24</v>
      </c>
      <c r="W126" s="17">
        <v>2021</v>
      </c>
      <c r="X126" s="49">
        <v>1</v>
      </c>
    </row>
    <row r="127" spans="1:24" x14ac:dyDescent="0.3">
      <c r="A127" s="7">
        <v>2022</v>
      </c>
      <c r="B127" s="7" t="s">
        <v>24</v>
      </c>
      <c r="C127" s="33">
        <v>6620947.9812531583</v>
      </c>
      <c r="D127" s="34">
        <v>104631.58123928271</v>
      </c>
      <c r="E127" s="35">
        <v>1460569.0068291025</v>
      </c>
      <c r="F127" s="34">
        <v>0</v>
      </c>
      <c r="G127" s="36">
        <v>1849904.9837974766</v>
      </c>
      <c r="H127" s="37">
        <v>2122082.3099211729</v>
      </c>
      <c r="I127" s="38">
        <v>1954536.5650367592</v>
      </c>
      <c r="J127" s="39">
        <v>0.5</v>
      </c>
      <c r="K127" s="38">
        <v>2226713.8911604555</v>
      </c>
      <c r="L127" s="39">
        <v>0.54110851299456675</v>
      </c>
      <c r="V127" s="16" t="s">
        <v>24</v>
      </c>
      <c r="W127" s="17">
        <v>2022</v>
      </c>
      <c r="X127" s="49">
        <v>1</v>
      </c>
    </row>
    <row r="128" spans="1:24" x14ac:dyDescent="0.3">
      <c r="A128" s="7">
        <v>2023</v>
      </c>
      <c r="B128" s="7" t="s">
        <v>24</v>
      </c>
      <c r="C128" s="33">
        <v>5860594.095251834</v>
      </c>
      <c r="D128" s="34">
        <v>227148.80776382959</v>
      </c>
      <c r="E128" s="35">
        <v>3036693.5575542198</v>
      </c>
      <c r="F128" s="34">
        <v>0</v>
      </c>
      <c r="G128" s="36">
        <v>596874.78150191717</v>
      </c>
      <c r="H128" s="37">
        <v>684693.22811552044</v>
      </c>
      <c r="I128" s="38">
        <v>824023.58926574676</v>
      </c>
      <c r="J128" s="39">
        <v>0.62</v>
      </c>
      <c r="K128" s="38">
        <v>911842.03587935003</v>
      </c>
      <c r="L128" s="39">
        <v>0.63498456388316538</v>
      </c>
      <c r="V128" s="16" t="s">
        <v>24</v>
      </c>
      <c r="W128" s="17">
        <v>2023</v>
      </c>
      <c r="X128" s="49">
        <v>1</v>
      </c>
    </row>
    <row r="129" spans="1:24" x14ac:dyDescent="0.3">
      <c r="A129" s="7">
        <v>2024</v>
      </c>
      <c r="B129" s="7" t="s">
        <v>24</v>
      </c>
      <c r="C129" s="33">
        <v>971022.05999999994</v>
      </c>
      <c r="D129" s="34">
        <v>4602.6184387894655</v>
      </c>
      <c r="E129" s="35">
        <v>70493.805741609453</v>
      </c>
      <c r="F129" s="34">
        <v>0</v>
      </c>
      <c r="G129" s="36">
        <v>512119.43025839049</v>
      </c>
      <c r="H129" s="37">
        <v>588669.83254389907</v>
      </c>
      <c r="I129" s="38">
        <v>516722.04869717994</v>
      </c>
      <c r="J129" s="39">
        <v>0.6</v>
      </c>
      <c r="K129" s="38">
        <v>593272.45098268858</v>
      </c>
      <c r="L129" s="39">
        <v>0.6788348745501297</v>
      </c>
      <c r="V129" s="16" t="s">
        <v>24</v>
      </c>
      <c r="W129" s="17">
        <v>2024</v>
      </c>
      <c r="X129" s="49">
        <v>1</v>
      </c>
    </row>
    <row r="130" spans="1:24" x14ac:dyDescent="0.3">
      <c r="A130" s="7">
        <v>2025</v>
      </c>
      <c r="B130" s="7" t="s">
        <v>24</v>
      </c>
      <c r="C130" s="33">
        <v>0</v>
      </c>
      <c r="D130" s="34">
        <v>0</v>
      </c>
      <c r="E130" s="35">
        <v>0</v>
      </c>
      <c r="F130" s="34">
        <v>0</v>
      </c>
      <c r="G130" s="36">
        <v>0</v>
      </c>
      <c r="H130" s="37">
        <v>0</v>
      </c>
      <c r="I130" s="38">
        <v>0</v>
      </c>
      <c r="J130" s="39">
        <v>0</v>
      </c>
      <c r="K130" s="38">
        <v>0</v>
      </c>
      <c r="L130" s="39">
        <v>0</v>
      </c>
      <c r="V130" s="16" t="s">
        <v>24</v>
      </c>
      <c r="W130" s="17">
        <v>2025</v>
      </c>
      <c r="X130" s="49">
        <v>1</v>
      </c>
    </row>
    <row r="131" spans="1:24" x14ac:dyDescent="0.3">
      <c r="A131" s="7">
        <v>2026</v>
      </c>
      <c r="B131" s="7" t="s">
        <v>24</v>
      </c>
      <c r="C131" s="33">
        <v>0</v>
      </c>
      <c r="D131" s="34">
        <v>0</v>
      </c>
      <c r="E131" s="35">
        <v>0</v>
      </c>
      <c r="F131" s="34">
        <v>0</v>
      </c>
      <c r="G131" s="36">
        <v>0</v>
      </c>
      <c r="H131" s="37">
        <v>0</v>
      </c>
      <c r="I131" s="38">
        <v>0</v>
      </c>
      <c r="J131" s="39">
        <v>0</v>
      </c>
      <c r="K131" s="38">
        <v>0</v>
      </c>
      <c r="L131" s="39">
        <v>0</v>
      </c>
      <c r="V131" s="16" t="s">
        <v>24</v>
      </c>
      <c r="W131" s="17">
        <v>2026</v>
      </c>
      <c r="X131" s="49">
        <v>1</v>
      </c>
    </row>
    <row r="132" spans="1:24" x14ac:dyDescent="0.3">
      <c r="A132" s="7">
        <v>2017</v>
      </c>
      <c r="B132" s="7" t="s">
        <v>25</v>
      </c>
      <c r="C132" s="33">
        <v>1789024.99</v>
      </c>
      <c r="D132" s="34">
        <v>5.2499989224452301E-4</v>
      </c>
      <c r="E132" s="35">
        <v>6631765.4605949987</v>
      </c>
      <c r="F132" s="34">
        <v>0</v>
      </c>
      <c r="G132" s="36">
        <v>0</v>
      </c>
      <c r="H132" s="37">
        <v>0</v>
      </c>
      <c r="I132" s="38">
        <v>5.2499989224452301E-4</v>
      </c>
      <c r="J132" s="39">
        <v>3.7069160563235055</v>
      </c>
      <c r="K132" s="38">
        <v>5.2499989224452301E-4</v>
      </c>
      <c r="L132" s="39">
        <v>3.7069160563235055</v>
      </c>
      <c r="V132" s="16" t="s">
        <v>25</v>
      </c>
      <c r="W132" s="17">
        <v>2017</v>
      </c>
      <c r="X132" s="49">
        <v>0.9999999776414531</v>
      </c>
    </row>
    <row r="133" spans="1:24" x14ac:dyDescent="0.3">
      <c r="A133" s="7">
        <v>2018</v>
      </c>
      <c r="B133" s="7" t="s">
        <v>25</v>
      </c>
      <c r="C133" s="33">
        <v>0</v>
      </c>
      <c r="D133" s="34">
        <v>-1.0913936421275139E-11</v>
      </c>
      <c r="E133" s="35">
        <v>303353.64900000003</v>
      </c>
      <c r="F133" s="34">
        <v>0</v>
      </c>
      <c r="G133" s="36">
        <v>0</v>
      </c>
      <c r="H133" s="37">
        <v>0</v>
      </c>
      <c r="I133" s="38">
        <v>-1.0913936421275139E-11</v>
      </c>
      <c r="J133" s="39">
        <v>0</v>
      </c>
      <c r="K133" s="38">
        <v>-1.0913936421275139E-11</v>
      </c>
      <c r="L133" s="39">
        <v>0</v>
      </c>
      <c r="V133" s="16" t="s">
        <v>25</v>
      </c>
      <c r="W133" s="17">
        <v>2018</v>
      </c>
      <c r="X133" s="49">
        <v>1</v>
      </c>
    </row>
    <row r="134" spans="1:24" x14ac:dyDescent="0.3">
      <c r="A134" s="7">
        <v>2019</v>
      </c>
      <c r="B134" s="7" t="s">
        <v>25</v>
      </c>
      <c r="C134" s="33">
        <v>0</v>
      </c>
      <c r="D134" s="34">
        <v>0</v>
      </c>
      <c r="E134" s="35">
        <v>0</v>
      </c>
      <c r="F134" s="34">
        <v>0</v>
      </c>
      <c r="G134" s="36">
        <v>0</v>
      </c>
      <c r="H134" s="37">
        <v>0</v>
      </c>
      <c r="I134" s="38">
        <v>0</v>
      </c>
      <c r="J134" s="39">
        <v>0</v>
      </c>
      <c r="K134" s="38">
        <v>0</v>
      </c>
      <c r="L134" s="39">
        <v>0</v>
      </c>
      <c r="V134" s="16" t="s">
        <v>25</v>
      </c>
      <c r="W134" s="17">
        <v>2019</v>
      </c>
      <c r="X134" s="49">
        <v>1</v>
      </c>
    </row>
    <row r="135" spans="1:24" x14ac:dyDescent="0.3">
      <c r="A135" s="7">
        <v>2020</v>
      </c>
      <c r="B135" s="7" t="s">
        <v>25</v>
      </c>
      <c r="C135" s="33">
        <v>0</v>
      </c>
      <c r="D135" s="34">
        <v>0</v>
      </c>
      <c r="E135" s="35">
        <v>0</v>
      </c>
      <c r="F135" s="34">
        <v>0</v>
      </c>
      <c r="G135" s="36">
        <v>0</v>
      </c>
      <c r="H135" s="37">
        <v>0</v>
      </c>
      <c r="I135" s="38">
        <v>0</v>
      </c>
      <c r="J135" s="39">
        <v>0</v>
      </c>
      <c r="K135" s="38">
        <v>0</v>
      </c>
      <c r="L135" s="39">
        <v>0</v>
      </c>
      <c r="V135" s="16" t="s">
        <v>25</v>
      </c>
      <c r="W135" s="17">
        <v>2020</v>
      </c>
      <c r="X135" s="49">
        <v>1</v>
      </c>
    </row>
    <row r="136" spans="1:24" x14ac:dyDescent="0.3">
      <c r="A136" s="7">
        <v>2021</v>
      </c>
      <c r="B136" s="7" t="s">
        <v>25</v>
      </c>
      <c r="C136" s="33">
        <v>0</v>
      </c>
      <c r="D136" s="34">
        <v>0</v>
      </c>
      <c r="E136" s="35">
        <v>0</v>
      </c>
      <c r="F136" s="34">
        <v>0</v>
      </c>
      <c r="G136" s="36">
        <v>0</v>
      </c>
      <c r="H136" s="37">
        <v>0</v>
      </c>
      <c r="I136" s="38">
        <v>0</v>
      </c>
      <c r="J136" s="39">
        <v>0</v>
      </c>
      <c r="K136" s="38">
        <v>0</v>
      </c>
      <c r="L136" s="39">
        <v>0</v>
      </c>
      <c r="V136" s="16" t="s">
        <v>25</v>
      </c>
      <c r="W136" s="17">
        <v>2021</v>
      </c>
      <c r="X136" s="49">
        <v>1</v>
      </c>
    </row>
    <row r="137" spans="1:24" x14ac:dyDescent="0.3">
      <c r="A137" s="7">
        <v>2022</v>
      </c>
      <c r="B137" s="7" t="s">
        <v>25</v>
      </c>
      <c r="C137" s="33">
        <v>0</v>
      </c>
      <c r="D137" s="34">
        <v>0</v>
      </c>
      <c r="E137" s="35">
        <v>0</v>
      </c>
      <c r="F137" s="34">
        <v>0</v>
      </c>
      <c r="G137" s="36">
        <v>0</v>
      </c>
      <c r="H137" s="37">
        <v>0</v>
      </c>
      <c r="I137" s="38">
        <v>0</v>
      </c>
      <c r="J137" s="39">
        <v>0</v>
      </c>
      <c r="K137" s="38">
        <v>0</v>
      </c>
      <c r="L137" s="39">
        <v>0</v>
      </c>
      <c r="V137" s="16" t="s">
        <v>25</v>
      </c>
      <c r="W137" s="17">
        <v>2022</v>
      </c>
      <c r="X137" s="49">
        <v>1</v>
      </c>
    </row>
    <row r="138" spans="1:24" x14ac:dyDescent="0.3">
      <c r="A138" s="7">
        <v>2023</v>
      </c>
      <c r="B138" s="7" t="s">
        <v>25</v>
      </c>
      <c r="C138" s="33">
        <v>0</v>
      </c>
      <c r="D138" s="34">
        <v>0</v>
      </c>
      <c r="E138" s="35">
        <v>0</v>
      </c>
      <c r="F138" s="34">
        <v>0</v>
      </c>
      <c r="G138" s="36">
        <v>0</v>
      </c>
      <c r="H138" s="37">
        <v>0</v>
      </c>
      <c r="I138" s="38">
        <v>0</v>
      </c>
      <c r="J138" s="39">
        <v>0</v>
      </c>
      <c r="K138" s="38">
        <v>0</v>
      </c>
      <c r="L138" s="39">
        <v>0</v>
      </c>
      <c r="V138" s="16" t="s">
        <v>25</v>
      </c>
      <c r="W138" s="17">
        <v>2023</v>
      </c>
      <c r="X138" s="49">
        <v>1</v>
      </c>
    </row>
    <row r="139" spans="1:24" x14ac:dyDescent="0.3">
      <c r="A139" s="7">
        <v>2024</v>
      </c>
      <c r="B139" s="7" t="s">
        <v>25</v>
      </c>
      <c r="C139" s="33">
        <v>0</v>
      </c>
      <c r="D139" s="34">
        <v>0</v>
      </c>
      <c r="E139" s="35">
        <v>0</v>
      </c>
      <c r="F139" s="34">
        <v>0</v>
      </c>
      <c r="G139" s="36">
        <v>0</v>
      </c>
      <c r="H139" s="37">
        <v>0</v>
      </c>
      <c r="I139" s="38">
        <v>0</v>
      </c>
      <c r="J139" s="39">
        <v>0</v>
      </c>
      <c r="K139" s="38">
        <v>0</v>
      </c>
      <c r="L139" s="39">
        <v>0</v>
      </c>
      <c r="V139" s="16" t="s">
        <v>25</v>
      </c>
      <c r="W139" s="17">
        <v>2024</v>
      </c>
      <c r="X139" s="49">
        <v>1</v>
      </c>
    </row>
    <row r="140" spans="1:24" x14ac:dyDescent="0.3">
      <c r="A140" s="7">
        <v>2025</v>
      </c>
      <c r="B140" s="7" t="s">
        <v>25</v>
      </c>
      <c r="C140" s="33">
        <v>0</v>
      </c>
      <c r="D140" s="34">
        <v>0</v>
      </c>
      <c r="E140" s="35">
        <v>0</v>
      </c>
      <c r="F140" s="34">
        <v>0</v>
      </c>
      <c r="G140" s="36">
        <v>0</v>
      </c>
      <c r="H140" s="37">
        <v>0</v>
      </c>
      <c r="I140" s="38">
        <v>0</v>
      </c>
      <c r="J140" s="39">
        <v>0</v>
      </c>
      <c r="K140" s="38">
        <v>0</v>
      </c>
      <c r="L140" s="39">
        <v>0</v>
      </c>
      <c r="V140" s="16" t="s">
        <v>25</v>
      </c>
      <c r="W140" s="17">
        <v>2025</v>
      </c>
      <c r="X140" s="49">
        <v>1</v>
      </c>
    </row>
    <row r="141" spans="1:24" x14ac:dyDescent="0.3">
      <c r="A141" s="7">
        <v>2026</v>
      </c>
      <c r="B141" s="7" t="s">
        <v>25</v>
      </c>
      <c r="C141" s="33">
        <v>0</v>
      </c>
      <c r="D141" s="34">
        <v>0</v>
      </c>
      <c r="E141" s="35">
        <v>0</v>
      </c>
      <c r="F141" s="34">
        <v>0</v>
      </c>
      <c r="G141" s="36">
        <v>0</v>
      </c>
      <c r="H141" s="37">
        <v>0</v>
      </c>
      <c r="I141" s="38">
        <v>0</v>
      </c>
      <c r="J141" s="39">
        <v>0</v>
      </c>
      <c r="K141" s="38">
        <v>0</v>
      </c>
      <c r="L141" s="39">
        <v>0</v>
      </c>
      <c r="V141" s="16" t="s">
        <v>25</v>
      </c>
      <c r="W141" s="17">
        <v>2026</v>
      </c>
      <c r="X141" s="49">
        <v>1</v>
      </c>
    </row>
    <row r="142" spans="1:24" x14ac:dyDescent="0.3">
      <c r="A142" s="7">
        <v>2017</v>
      </c>
      <c r="B142" s="7" t="s">
        <v>26</v>
      </c>
      <c r="C142" s="33">
        <v>988305.75999999989</v>
      </c>
      <c r="D142" s="34">
        <v>138092.72876050265</v>
      </c>
      <c r="E142" s="35">
        <v>138635.84876050265</v>
      </c>
      <c r="F142" s="34">
        <v>0</v>
      </c>
      <c r="G142" s="36">
        <v>0</v>
      </c>
      <c r="H142" s="37">
        <v>0</v>
      </c>
      <c r="I142" s="38">
        <v>138092.72876050265</v>
      </c>
      <c r="J142" s="39">
        <v>0.14027627316520208</v>
      </c>
      <c r="K142" s="38">
        <v>138092.72876050265</v>
      </c>
      <c r="L142" s="39">
        <v>0.14027627316520208</v>
      </c>
      <c r="V142" s="16" t="s">
        <v>26</v>
      </c>
      <c r="W142" s="17">
        <v>2017</v>
      </c>
      <c r="X142" s="49">
        <v>0.94363788123801595</v>
      </c>
    </row>
    <row r="143" spans="1:24" x14ac:dyDescent="0.3">
      <c r="A143" s="7">
        <v>2018</v>
      </c>
      <c r="B143" s="7" t="s">
        <v>26</v>
      </c>
      <c r="C143" s="33">
        <v>1097455.6800000002</v>
      </c>
      <c r="D143" s="34">
        <v>1.02</v>
      </c>
      <c r="E143" s="35">
        <v>6913.5543000000007</v>
      </c>
      <c r="F143" s="34">
        <v>1890000</v>
      </c>
      <c r="G143" s="36">
        <v>0</v>
      </c>
      <c r="H143" s="37">
        <v>0</v>
      </c>
      <c r="I143" s="38">
        <v>1890001.02</v>
      </c>
      <c r="J143" s="39">
        <v>1.7284648381427117</v>
      </c>
      <c r="K143" s="38">
        <v>1890001.02</v>
      </c>
      <c r="L143" s="39">
        <v>1.7284648381427117</v>
      </c>
      <c r="V143" s="16" t="s">
        <v>26</v>
      </c>
      <c r="W143" s="17">
        <v>2018</v>
      </c>
      <c r="X143" s="49">
        <v>0.93650495759567076</v>
      </c>
    </row>
    <row r="144" spans="1:24" x14ac:dyDescent="0.3">
      <c r="A144" s="7">
        <v>2019</v>
      </c>
      <c r="B144" s="7" t="s">
        <v>26</v>
      </c>
      <c r="C144" s="33">
        <v>1178952.6000000001</v>
      </c>
      <c r="D144" s="34">
        <v>30108.58668745017</v>
      </c>
      <c r="E144" s="35">
        <v>262566.82217245013</v>
      </c>
      <c r="F144" s="34">
        <v>0</v>
      </c>
      <c r="G144" s="36">
        <v>0</v>
      </c>
      <c r="H144" s="37">
        <v>0</v>
      </c>
      <c r="I144" s="38">
        <v>30108.58668745017</v>
      </c>
      <c r="J144" s="39">
        <v>0.22271194123703542</v>
      </c>
      <c r="K144" s="38">
        <v>30108.58668745017</v>
      </c>
      <c r="L144" s="39">
        <v>0.22271194123703542</v>
      </c>
      <c r="V144" s="16" t="s">
        <v>26</v>
      </c>
      <c r="W144" s="17">
        <v>2019</v>
      </c>
      <c r="X144" s="49">
        <v>1</v>
      </c>
    </row>
    <row r="145" spans="1:24" x14ac:dyDescent="0.3">
      <c r="A145" s="7">
        <v>2020</v>
      </c>
      <c r="B145" s="7" t="s">
        <v>26</v>
      </c>
      <c r="C145" s="33">
        <v>0</v>
      </c>
      <c r="D145" s="34">
        <v>0</v>
      </c>
      <c r="E145" s="35">
        <v>0</v>
      </c>
      <c r="F145" s="34">
        <v>0</v>
      </c>
      <c r="G145" s="36">
        <v>0</v>
      </c>
      <c r="H145" s="37">
        <v>0</v>
      </c>
      <c r="I145" s="38">
        <v>0</v>
      </c>
      <c r="J145" s="39">
        <v>0</v>
      </c>
      <c r="K145" s="38">
        <v>0</v>
      </c>
      <c r="L145" s="39">
        <v>0</v>
      </c>
      <c r="V145" s="16" t="s">
        <v>26</v>
      </c>
      <c r="W145" s="17">
        <v>2020</v>
      </c>
      <c r="X145" s="49">
        <v>1</v>
      </c>
    </row>
    <row r="146" spans="1:24" x14ac:dyDescent="0.3">
      <c r="A146" s="7">
        <v>2021</v>
      </c>
      <c r="B146" s="7" t="s">
        <v>26</v>
      </c>
      <c r="C146" s="33">
        <v>0</v>
      </c>
      <c r="D146" s="34">
        <v>0</v>
      </c>
      <c r="E146" s="35">
        <v>0</v>
      </c>
      <c r="F146" s="34">
        <v>0</v>
      </c>
      <c r="G146" s="36">
        <v>0</v>
      </c>
      <c r="H146" s="37">
        <v>0</v>
      </c>
      <c r="I146" s="38">
        <v>0</v>
      </c>
      <c r="J146" s="39">
        <v>0</v>
      </c>
      <c r="K146" s="38">
        <v>0</v>
      </c>
      <c r="L146" s="39">
        <v>0</v>
      </c>
      <c r="V146" s="16" t="s">
        <v>26</v>
      </c>
      <c r="W146" s="17">
        <v>2021</v>
      </c>
      <c r="X146" s="49">
        <v>1</v>
      </c>
    </row>
    <row r="147" spans="1:24" x14ac:dyDescent="0.3">
      <c r="A147" s="7">
        <v>2022</v>
      </c>
      <c r="B147" s="7" t="s">
        <v>26</v>
      </c>
      <c r="C147" s="33">
        <v>0</v>
      </c>
      <c r="D147" s="34">
        <v>0</v>
      </c>
      <c r="E147" s="35">
        <v>0</v>
      </c>
      <c r="F147" s="34">
        <v>0</v>
      </c>
      <c r="G147" s="36">
        <v>0</v>
      </c>
      <c r="H147" s="37">
        <v>0</v>
      </c>
      <c r="I147" s="38">
        <v>0</v>
      </c>
      <c r="J147" s="39">
        <v>0</v>
      </c>
      <c r="K147" s="38">
        <v>0</v>
      </c>
      <c r="L147" s="39">
        <v>0</v>
      </c>
      <c r="V147" s="16" t="s">
        <v>26</v>
      </c>
      <c r="W147" s="17">
        <v>2022</v>
      </c>
      <c r="X147" s="49">
        <v>1</v>
      </c>
    </row>
    <row r="148" spans="1:24" x14ac:dyDescent="0.3">
      <c r="A148" s="7">
        <v>2023</v>
      </c>
      <c r="B148" s="7" t="s">
        <v>26</v>
      </c>
      <c r="C148" s="33">
        <v>0</v>
      </c>
      <c r="D148" s="34">
        <v>0</v>
      </c>
      <c r="E148" s="35">
        <v>0</v>
      </c>
      <c r="F148" s="34">
        <v>0</v>
      </c>
      <c r="G148" s="36">
        <v>0</v>
      </c>
      <c r="H148" s="37">
        <v>0</v>
      </c>
      <c r="I148" s="38">
        <v>0</v>
      </c>
      <c r="J148" s="39">
        <v>0</v>
      </c>
      <c r="K148" s="38">
        <v>0</v>
      </c>
      <c r="L148" s="39">
        <v>0</v>
      </c>
      <c r="V148" s="16" t="s">
        <v>26</v>
      </c>
      <c r="W148" s="17">
        <v>2023</v>
      </c>
      <c r="X148" s="49">
        <v>1</v>
      </c>
    </row>
    <row r="149" spans="1:24" x14ac:dyDescent="0.3">
      <c r="A149" s="7">
        <v>2024</v>
      </c>
      <c r="B149" s="7" t="s">
        <v>26</v>
      </c>
      <c r="C149" s="33">
        <v>0</v>
      </c>
      <c r="D149" s="34">
        <v>0</v>
      </c>
      <c r="E149" s="35">
        <v>0</v>
      </c>
      <c r="F149" s="34">
        <v>0</v>
      </c>
      <c r="G149" s="36">
        <v>0</v>
      </c>
      <c r="H149" s="37">
        <v>0</v>
      </c>
      <c r="I149" s="38">
        <v>0</v>
      </c>
      <c r="J149" s="39">
        <v>0</v>
      </c>
      <c r="K149" s="38">
        <v>0</v>
      </c>
      <c r="L149" s="39">
        <v>0</v>
      </c>
      <c r="V149" s="16" t="s">
        <v>26</v>
      </c>
      <c r="W149" s="17">
        <v>2024</v>
      </c>
      <c r="X149" s="49">
        <v>1</v>
      </c>
    </row>
    <row r="150" spans="1:24" x14ac:dyDescent="0.3">
      <c r="A150" s="7">
        <v>2025</v>
      </c>
      <c r="B150" s="7" t="s">
        <v>26</v>
      </c>
      <c r="C150" s="33">
        <v>0</v>
      </c>
      <c r="D150" s="34">
        <v>0</v>
      </c>
      <c r="E150" s="35">
        <v>0</v>
      </c>
      <c r="F150" s="34">
        <v>0</v>
      </c>
      <c r="G150" s="36">
        <v>0</v>
      </c>
      <c r="H150" s="37">
        <v>0</v>
      </c>
      <c r="I150" s="38">
        <v>0</v>
      </c>
      <c r="J150" s="39">
        <v>0</v>
      </c>
      <c r="K150" s="38">
        <v>0</v>
      </c>
      <c r="L150" s="39">
        <v>0</v>
      </c>
      <c r="V150" s="16" t="s">
        <v>26</v>
      </c>
      <c r="W150" s="17">
        <v>2025</v>
      </c>
      <c r="X150" s="49">
        <v>1</v>
      </c>
    </row>
    <row r="151" spans="1:24" x14ac:dyDescent="0.3">
      <c r="A151" s="7">
        <v>2026</v>
      </c>
      <c r="B151" s="7" t="s">
        <v>26</v>
      </c>
      <c r="C151" s="33">
        <v>0</v>
      </c>
      <c r="D151" s="34">
        <v>0</v>
      </c>
      <c r="E151" s="35">
        <v>0</v>
      </c>
      <c r="F151" s="34">
        <v>0</v>
      </c>
      <c r="G151" s="36">
        <v>0</v>
      </c>
      <c r="H151" s="37">
        <v>0</v>
      </c>
      <c r="I151" s="38">
        <v>0</v>
      </c>
      <c r="J151" s="39">
        <v>0</v>
      </c>
      <c r="K151" s="38">
        <v>0</v>
      </c>
      <c r="L151" s="39">
        <v>0</v>
      </c>
      <c r="V151" s="16" t="s">
        <v>26</v>
      </c>
      <c r="W151" s="17">
        <v>2026</v>
      </c>
      <c r="X151" s="49">
        <v>1</v>
      </c>
    </row>
    <row r="152" spans="1:24" x14ac:dyDescent="0.3">
      <c r="A152" s="7">
        <v>2017</v>
      </c>
      <c r="B152" s="7" t="s">
        <v>27</v>
      </c>
      <c r="C152" s="33">
        <v>5106684.17</v>
      </c>
      <c r="D152" s="34">
        <v>1730798.0167631158</v>
      </c>
      <c r="E152" s="35">
        <v>1742319.1158088858</v>
      </c>
      <c r="F152" s="34">
        <v>1800796.2486253539</v>
      </c>
      <c r="G152" s="36">
        <v>44887.083847224589</v>
      </c>
      <c r="H152" s="37">
        <v>56035.154081138739</v>
      </c>
      <c r="I152" s="38">
        <v>3576481.3492356944</v>
      </c>
      <c r="J152" s="39">
        <v>0.7026090372613476</v>
      </c>
      <c r="K152" s="38">
        <v>3587629.4194696085</v>
      </c>
      <c r="L152" s="39">
        <v>0.70479207225289953</v>
      </c>
      <c r="V152" s="16" t="s">
        <v>27</v>
      </c>
      <c r="W152" s="17">
        <v>2017</v>
      </c>
      <c r="X152" s="49">
        <v>1</v>
      </c>
    </row>
    <row r="153" spans="1:24" x14ac:dyDescent="0.3">
      <c r="A153" s="7">
        <v>2018</v>
      </c>
      <c r="B153" s="7" t="s">
        <v>27</v>
      </c>
      <c r="C153" s="33">
        <v>4807009.1700000009</v>
      </c>
      <c r="D153" s="34">
        <v>574.77589467890357</v>
      </c>
      <c r="E153" s="35">
        <v>20694996.385894679</v>
      </c>
      <c r="F153" s="34">
        <v>0</v>
      </c>
      <c r="G153" s="36">
        <v>16527.760229321186</v>
      </c>
      <c r="H153" s="37">
        <v>20632.563127029549</v>
      </c>
      <c r="I153" s="38">
        <v>17102.536124000089</v>
      </c>
      <c r="J153" s="39">
        <v>4.3086092440560071</v>
      </c>
      <c r="K153" s="38">
        <v>21207.339021708452</v>
      </c>
      <c r="L153" s="39">
        <v>4.3094631643945265</v>
      </c>
      <c r="V153" s="16" t="s">
        <v>27</v>
      </c>
      <c r="W153" s="17">
        <v>2018</v>
      </c>
      <c r="X153" s="49">
        <v>1</v>
      </c>
    </row>
    <row r="154" spans="1:24" x14ac:dyDescent="0.3">
      <c r="A154" s="7">
        <v>2019</v>
      </c>
      <c r="B154" s="7" t="s">
        <v>27</v>
      </c>
      <c r="C154" s="33">
        <v>10829057.990000004</v>
      </c>
      <c r="D154" s="34">
        <v>0</v>
      </c>
      <c r="E154" s="35">
        <v>0</v>
      </c>
      <c r="F154" s="34">
        <v>0</v>
      </c>
      <c r="G154" s="36">
        <v>602014.44373083033</v>
      </c>
      <c r="H154" s="37">
        <v>751529.59876706067</v>
      </c>
      <c r="I154" s="38">
        <v>602014.44373083033</v>
      </c>
      <c r="J154" s="39">
        <v>5.5592503455679627E-2</v>
      </c>
      <c r="K154" s="38">
        <v>751529.59876706067</v>
      </c>
      <c r="L154" s="39">
        <v>6.9399351214210314E-2</v>
      </c>
      <c r="V154" s="16" t="s">
        <v>27</v>
      </c>
      <c r="W154" s="17">
        <v>2019</v>
      </c>
      <c r="X154" s="49">
        <v>0.99998712722749028</v>
      </c>
    </row>
    <row r="155" spans="1:24" x14ac:dyDescent="0.3">
      <c r="A155" s="7">
        <v>2020</v>
      </c>
      <c r="B155" s="7" t="s">
        <v>27</v>
      </c>
      <c r="C155" s="33">
        <v>5674574.4399999985</v>
      </c>
      <c r="D155" s="34">
        <v>0</v>
      </c>
      <c r="E155" s="35">
        <v>0</v>
      </c>
      <c r="F155" s="34">
        <v>0</v>
      </c>
      <c r="G155" s="36">
        <v>360867.19500601816</v>
      </c>
      <c r="H155" s="37">
        <v>450491.48088600696</v>
      </c>
      <c r="I155" s="38">
        <v>360867.19500601816</v>
      </c>
      <c r="J155" s="39">
        <v>6.3593701839960048E-2</v>
      </c>
      <c r="K155" s="38">
        <v>450491.48088600696</v>
      </c>
      <c r="L155" s="39">
        <v>7.938771191554006E-2</v>
      </c>
      <c r="V155" s="16" t="s">
        <v>27</v>
      </c>
      <c r="W155" s="17">
        <v>2020</v>
      </c>
      <c r="X155" s="49">
        <v>1</v>
      </c>
    </row>
    <row r="156" spans="1:24" x14ac:dyDescent="0.3">
      <c r="A156" s="7">
        <v>2021</v>
      </c>
      <c r="B156" s="7" t="s">
        <v>27</v>
      </c>
      <c r="C156" s="33">
        <v>9376364.5220050365</v>
      </c>
      <c r="D156" s="34">
        <v>1026223.563187619</v>
      </c>
      <c r="E156" s="35">
        <v>1145462.0136447391</v>
      </c>
      <c r="F156" s="34">
        <v>0</v>
      </c>
      <c r="G156" s="36">
        <v>183152.50949458999</v>
      </c>
      <c r="H156" s="37">
        <v>228639.91621302764</v>
      </c>
      <c r="I156" s="38">
        <v>1209376.0726822088</v>
      </c>
      <c r="J156" s="39">
        <v>0.14169825842641398</v>
      </c>
      <c r="K156" s="38">
        <v>1254863.4794006466</v>
      </c>
      <c r="L156" s="39">
        <v>0.14654954237678566</v>
      </c>
      <c r="V156" s="16" t="s">
        <v>27</v>
      </c>
      <c r="W156" s="17">
        <v>2021</v>
      </c>
      <c r="X156" s="49">
        <v>0.99993167742208999</v>
      </c>
    </row>
    <row r="157" spans="1:24" x14ac:dyDescent="0.3">
      <c r="A157" s="7">
        <v>2022</v>
      </c>
      <c r="B157" s="7" t="s">
        <v>27</v>
      </c>
      <c r="C157" s="33">
        <v>3085585.3918767972</v>
      </c>
      <c r="D157" s="34">
        <v>371938.79424170352</v>
      </c>
      <c r="E157" s="35">
        <v>431967.56775548356</v>
      </c>
      <c r="F157" s="34">
        <v>0</v>
      </c>
      <c r="G157" s="36">
        <v>1313177.143563065</v>
      </c>
      <c r="H157" s="37">
        <v>1639315.3056196091</v>
      </c>
      <c r="I157" s="38">
        <v>1685115.9378047686</v>
      </c>
      <c r="J157" s="39">
        <v>0.56557978136429732</v>
      </c>
      <c r="K157" s="38">
        <v>2011254.0998613127</v>
      </c>
      <c r="L157" s="39">
        <v>0.67127711935246159</v>
      </c>
      <c r="V157" s="16" t="s">
        <v>27</v>
      </c>
      <c r="W157" s="17">
        <v>2022</v>
      </c>
      <c r="X157" s="49">
        <v>0.97877653051792912</v>
      </c>
    </row>
    <row r="158" spans="1:24" x14ac:dyDescent="0.3">
      <c r="A158" s="7">
        <v>2023</v>
      </c>
      <c r="B158" s="7" t="s">
        <v>27</v>
      </c>
      <c r="C158" s="33">
        <v>555102.39518338232</v>
      </c>
      <c r="D158" s="34">
        <v>0</v>
      </c>
      <c r="E158" s="35">
        <v>0</v>
      </c>
      <c r="F158" s="34">
        <v>0</v>
      </c>
      <c r="G158" s="36">
        <v>283102.221543525</v>
      </c>
      <c r="H158" s="37">
        <v>356292.61342806247</v>
      </c>
      <c r="I158" s="38">
        <v>283102.221543525</v>
      </c>
      <c r="J158" s="39">
        <v>0.51</v>
      </c>
      <c r="K158" s="38">
        <v>356292.61342806247</v>
      </c>
      <c r="L158" s="39">
        <v>0.64185025415060315</v>
      </c>
      <c r="V158" s="16" t="s">
        <v>27</v>
      </c>
      <c r="W158" s="17">
        <v>2023</v>
      </c>
      <c r="X158" s="49">
        <v>1</v>
      </c>
    </row>
    <row r="159" spans="1:24" x14ac:dyDescent="0.3">
      <c r="A159" s="7">
        <v>2024</v>
      </c>
      <c r="B159" s="7" t="s">
        <v>27</v>
      </c>
      <c r="C159" s="33">
        <v>23393.892504769039</v>
      </c>
      <c r="D159" s="34">
        <v>0</v>
      </c>
      <c r="E159" s="35">
        <v>0</v>
      </c>
      <c r="F159" s="34">
        <v>0</v>
      </c>
      <c r="G159" s="36">
        <v>11930.88517743221</v>
      </c>
      <c r="H159" s="37">
        <v>15256.737751711093</v>
      </c>
      <c r="I159" s="38">
        <v>11930.88517743221</v>
      </c>
      <c r="J159" s="39">
        <v>0.51</v>
      </c>
      <c r="K159" s="38">
        <v>15256.737751711093</v>
      </c>
      <c r="L159" s="39">
        <v>0.65216755820353023</v>
      </c>
      <c r="V159" s="16" t="s">
        <v>27</v>
      </c>
      <c r="W159" s="17">
        <v>2024</v>
      </c>
      <c r="X159" s="49">
        <v>1</v>
      </c>
    </row>
    <row r="160" spans="1:24" x14ac:dyDescent="0.3">
      <c r="A160" s="7">
        <v>2025</v>
      </c>
      <c r="B160" s="7" t="s">
        <v>27</v>
      </c>
      <c r="C160" s="33">
        <v>0</v>
      </c>
      <c r="D160" s="34">
        <v>0</v>
      </c>
      <c r="E160" s="35">
        <v>0</v>
      </c>
      <c r="F160" s="34">
        <v>0</v>
      </c>
      <c r="G160" s="36">
        <v>0</v>
      </c>
      <c r="H160" s="37">
        <v>0</v>
      </c>
      <c r="I160" s="38">
        <v>0</v>
      </c>
      <c r="J160" s="39">
        <v>0</v>
      </c>
      <c r="K160" s="38">
        <v>0</v>
      </c>
      <c r="L160" s="39">
        <v>0</v>
      </c>
      <c r="V160" s="16" t="s">
        <v>27</v>
      </c>
      <c r="W160" s="17">
        <v>2025</v>
      </c>
      <c r="X160" s="49">
        <v>1</v>
      </c>
    </row>
    <row r="161" spans="1:24" x14ac:dyDescent="0.3">
      <c r="A161" s="7">
        <v>2026</v>
      </c>
      <c r="B161" s="7" t="s">
        <v>27</v>
      </c>
      <c r="C161" s="33">
        <v>0</v>
      </c>
      <c r="D161" s="34">
        <v>0</v>
      </c>
      <c r="E161" s="35">
        <v>0</v>
      </c>
      <c r="F161" s="34">
        <v>0</v>
      </c>
      <c r="G161" s="36">
        <v>0</v>
      </c>
      <c r="H161" s="37">
        <v>0</v>
      </c>
      <c r="I161" s="38">
        <v>0</v>
      </c>
      <c r="J161" s="39">
        <v>0</v>
      </c>
      <c r="K161" s="38">
        <v>0</v>
      </c>
      <c r="L161" s="39">
        <v>0</v>
      </c>
      <c r="V161" s="16" t="s">
        <v>27</v>
      </c>
      <c r="W161" s="17">
        <v>2026</v>
      </c>
      <c r="X161" s="49">
        <v>1</v>
      </c>
    </row>
    <row r="162" spans="1:24" x14ac:dyDescent="0.3">
      <c r="A162" s="7">
        <v>2017</v>
      </c>
      <c r="B162" s="7" t="s">
        <v>28</v>
      </c>
      <c r="C162" s="33">
        <v>4538189.0700000012</v>
      </c>
      <c r="D162" s="34">
        <v>265967.86832010344</v>
      </c>
      <c r="E162" s="35">
        <v>5250960.1407778552</v>
      </c>
      <c r="F162" s="34">
        <v>0</v>
      </c>
      <c r="G162" s="36">
        <v>0</v>
      </c>
      <c r="H162" s="37">
        <v>0</v>
      </c>
      <c r="I162" s="38">
        <v>265967.86832010344</v>
      </c>
      <c r="J162" s="39">
        <v>1.1570606820878562</v>
      </c>
      <c r="K162" s="38">
        <v>265967.86832010344</v>
      </c>
      <c r="L162" s="39">
        <v>1.1570606820878562</v>
      </c>
      <c r="V162" s="16" t="s">
        <v>28</v>
      </c>
      <c r="W162" s="17">
        <v>2017</v>
      </c>
      <c r="X162" s="49">
        <v>1</v>
      </c>
    </row>
    <row r="163" spans="1:24" x14ac:dyDescent="0.3">
      <c r="A163" s="7">
        <v>2018</v>
      </c>
      <c r="B163" s="7" t="s">
        <v>28</v>
      </c>
      <c r="C163" s="33">
        <v>7346372.6299999971</v>
      </c>
      <c r="D163" s="34">
        <v>3713568.6466495958</v>
      </c>
      <c r="E163" s="35">
        <v>11163140.328289168</v>
      </c>
      <c r="F163" s="34">
        <v>0</v>
      </c>
      <c r="G163" s="36">
        <v>444128.42711082846</v>
      </c>
      <c r="H163" s="37">
        <v>515818.81014923786</v>
      </c>
      <c r="I163" s="38">
        <v>4157697.0737604243</v>
      </c>
      <c r="J163" s="39">
        <v>1.58</v>
      </c>
      <c r="K163" s="38">
        <v>4229387.4567988338</v>
      </c>
      <c r="L163" s="39">
        <v>1.5897586096770604</v>
      </c>
      <c r="V163" s="16" t="s">
        <v>28</v>
      </c>
      <c r="W163" s="17">
        <v>2018</v>
      </c>
      <c r="X163" s="49">
        <v>0.9957071505526367</v>
      </c>
    </row>
    <row r="164" spans="1:24" x14ac:dyDescent="0.3">
      <c r="A164" s="7">
        <v>2019</v>
      </c>
      <c r="B164" s="7" t="s">
        <v>28</v>
      </c>
      <c r="C164" s="33">
        <v>11188079.039999997</v>
      </c>
      <c r="D164" s="34">
        <v>3100595.318934293</v>
      </c>
      <c r="E164" s="35">
        <v>10056045.544295462</v>
      </c>
      <c r="F164" s="34">
        <v>2166000</v>
      </c>
      <c r="G164" s="36">
        <v>317945.54672275466</v>
      </c>
      <c r="H164" s="37">
        <v>369267.72435995151</v>
      </c>
      <c r="I164" s="38">
        <v>5584540.8656570483</v>
      </c>
      <c r="J164" s="39">
        <v>1.1208350464976891</v>
      </c>
      <c r="K164" s="38">
        <v>5635863.0432942454</v>
      </c>
      <c r="L164" s="39">
        <v>1.1254222662924105</v>
      </c>
      <c r="V164" s="16" t="s">
        <v>28</v>
      </c>
      <c r="W164" s="17">
        <v>2019</v>
      </c>
      <c r="X164" s="49">
        <v>0.996722315304295</v>
      </c>
    </row>
    <row r="165" spans="1:24" x14ac:dyDescent="0.3">
      <c r="A165" s="7">
        <v>2020</v>
      </c>
      <c r="B165" s="7" t="s">
        <v>28</v>
      </c>
      <c r="C165" s="33">
        <v>9094058.6123298313</v>
      </c>
      <c r="D165" s="34">
        <v>6030.7033880680556</v>
      </c>
      <c r="E165" s="35">
        <v>1561478.8969610082</v>
      </c>
      <c r="F165" s="34">
        <v>0</v>
      </c>
      <c r="G165" s="36">
        <v>4125572.467866566</v>
      </c>
      <c r="H165" s="37">
        <v>4791514.6873234278</v>
      </c>
      <c r="I165" s="38">
        <v>4131603.1712546339</v>
      </c>
      <c r="J165" s="39">
        <v>0.62535899616008672</v>
      </c>
      <c r="K165" s="38">
        <v>4797545.3907114957</v>
      </c>
      <c r="L165" s="39">
        <v>0.69858727055827119</v>
      </c>
      <c r="V165" s="16" t="s">
        <v>28</v>
      </c>
      <c r="W165" s="17">
        <v>2020</v>
      </c>
      <c r="X165" s="49">
        <v>1</v>
      </c>
    </row>
    <row r="166" spans="1:24" x14ac:dyDescent="0.3">
      <c r="A166" s="7">
        <v>2021</v>
      </c>
      <c r="B166" s="7" t="s">
        <v>28</v>
      </c>
      <c r="C166" s="33">
        <v>10526061.278152354</v>
      </c>
      <c r="D166" s="34">
        <v>16585.660806295109</v>
      </c>
      <c r="E166" s="35">
        <v>1501351.3277838449</v>
      </c>
      <c r="F166" s="34">
        <v>0</v>
      </c>
      <c r="G166" s="36">
        <v>5024806.6646706145</v>
      </c>
      <c r="H166" s="37">
        <v>5835901.5923868632</v>
      </c>
      <c r="I166" s="38">
        <v>5041392.32547691</v>
      </c>
      <c r="J166" s="39">
        <v>0.62</v>
      </c>
      <c r="K166" s="38">
        <v>5852487.2531931587</v>
      </c>
      <c r="L166" s="39">
        <v>0.6970558812344877</v>
      </c>
      <c r="V166" s="16" t="s">
        <v>28</v>
      </c>
      <c r="W166" s="17">
        <v>2021</v>
      </c>
      <c r="X166" s="49">
        <v>0.99923405104686158</v>
      </c>
    </row>
    <row r="167" spans="1:24" x14ac:dyDescent="0.3">
      <c r="A167" s="7">
        <v>2022</v>
      </c>
      <c r="B167" s="7" t="s">
        <v>28</v>
      </c>
      <c r="C167" s="33">
        <v>5344080.0183031727</v>
      </c>
      <c r="D167" s="34">
        <v>73393.82157985185</v>
      </c>
      <c r="E167" s="35">
        <v>633892.33531117206</v>
      </c>
      <c r="F167" s="34">
        <v>0</v>
      </c>
      <c r="G167" s="36">
        <v>2745243</v>
      </c>
      <c r="H167" s="37">
        <v>3188375.0090988018</v>
      </c>
      <c r="I167" s="38">
        <v>2818636.8215798517</v>
      </c>
      <c r="J167" s="39">
        <v>0.63231376097248249</v>
      </c>
      <c r="K167" s="38">
        <v>3261768.8306786534</v>
      </c>
      <c r="L167" s="39">
        <v>0.71523392825686061</v>
      </c>
      <c r="V167" s="16" t="s">
        <v>28</v>
      </c>
      <c r="W167" s="17">
        <v>2022</v>
      </c>
      <c r="X167" s="49">
        <v>1</v>
      </c>
    </row>
    <row r="168" spans="1:24" x14ac:dyDescent="0.3">
      <c r="A168" s="7">
        <v>2023</v>
      </c>
      <c r="B168" s="7" t="s">
        <v>28</v>
      </c>
      <c r="C168" s="33">
        <v>5575303.1009705001</v>
      </c>
      <c r="D168" s="34">
        <v>113974.50381973847</v>
      </c>
      <c r="E168" s="35">
        <v>2423467.6689028786</v>
      </c>
      <c r="F168" s="34">
        <v>750000</v>
      </c>
      <c r="G168" s="36">
        <v>1548459.5</v>
      </c>
      <c r="H168" s="37">
        <v>1798097.4967242058</v>
      </c>
      <c r="I168" s="38">
        <v>2412434.0038197385</v>
      </c>
      <c r="J168" s="39">
        <v>0.84693640567827189</v>
      </c>
      <c r="K168" s="38">
        <v>2662072.0005439445</v>
      </c>
      <c r="L168" s="39">
        <v>0.8917120873234099</v>
      </c>
      <c r="V168" s="16" t="s">
        <v>28</v>
      </c>
      <c r="W168" s="17">
        <v>2023</v>
      </c>
      <c r="X168" s="49">
        <v>1</v>
      </c>
    </row>
    <row r="169" spans="1:24" x14ac:dyDescent="0.3">
      <c r="A169" s="7">
        <v>2024</v>
      </c>
      <c r="B169" s="7" t="s">
        <v>28</v>
      </c>
      <c r="C169" s="33">
        <v>778693.94</v>
      </c>
      <c r="D169" s="34">
        <v>62876.670857638586</v>
      </c>
      <c r="E169" s="35">
        <v>116431.79860697858</v>
      </c>
      <c r="F169" s="34">
        <v>960662.39</v>
      </c>
      <c r="G169" s="36">
        <v>192683.63705603068</v>
      </c>
      <c r="H169" s="37">
        <v>224124.0834833816</v>
      </c>
      <c r="I169" s="38">
        <v>1216222.6979136693</v>
      </c>
      <c r="J169" s="39">
        <v>1.6306507093955416</v>
      </c>
      <c r="K169" s="38">
        <v>1247663.1443410201</v>
      </c>
      <c r="L169" s="39">
        <v>1.671026580854553</v>
      </c>
      <c r="V169" s="16" t="s">
        <v>28</v>
      </c>
      <c r="W169" s="17">
        <v>2024</v>
      </c>
      <c r="X169" s="49">
        <v>1</v>
      </c>
    </row>
    <row r="170" spans="1:24" x14ac:dyDescent="0.3">
      <c r="A170" s="7">
        <v>2025</v>
      </c>
      <c r="B170" s="7" t="s">
        <v>28</v>
      </c>
      <c r="C170" s="33">
        <v>0</v>
      </c>
      <c r="D170" s="34">
        <v>0</v>
      </c>
      <c r="E170" s="35">
        <v>0</v>
      </c>
      <c r="F170" s="34">
        <v>0</v>
      </c>
      <c r="G170" s="36">
        <v>0</v>
      </c>
      <c r="H170" s="37">
        <v>0</v>
      </c>
      <c r="I170" s="38">
        <v>0</v>
      </c>
      <c r="J170" s="39">
        <v>0</v>
      </c>
      <c r="K170" s="38">
        <v>0</v>
      </c>
      <c r="L170" s="39">
        <v>0</v>
      </c>
      <c r="V170" s="16" t="s">
        <v>28</v>
      </c>
      <c r="W170" s="17">
        <v>2025</v>
      </c>
      <c r="X170" s="49">
        <v>1</v>
      </c>
    </row>
    <row r="171" spans="1:24" x14ac:dyDescent="0.3">
      <c r="A171" s="7">
        <v>2026</v>
      </c>
      <c r="B171" s="7" t="s">
        <v>28</v>
      </c>
      <c r="C171" s="33">
        <v>0</v>
      </c>
      <c r="D171" s="34">
        <v>0</v>
      </c>
      <c r="E171" s="35">
        <v>0</v>
      </c>
      <c r="F171" s="34">
        <v>0</v>
      </c>
      <c r="G171" s="36">
        <v>0</v>
      </c>
      <c r="H171" s="37">
        <v>0</v>
      </c>
      <c r="I171" s="38">
        <v>0</v>
      </c>
      <c r="J171" s="39">
        <v>0</v>
      </c>
      <c r="K171" s="38">
        <v>0</v>
      </c>
      <c r="L171" s="39">
        <v>0</v>
      </c>
      <c r="V171" s="16" t="s">
        <v>28</v>
      </c>
      <c r="W171" s="17">
        <v>2026</v>
      </c>
      <c r="X171" s="49">
        <v>1</v>
      </c>
    </row>
    <row r="172" spans="1:24" x14ac:dyDescent="0.3">
      <c r="A172" s="7">
        <v>2017</v>
      </c>
      <c r="B172" s="7" t="s">
        <v>29</v>
      </c>
      <c r="C172" s="33">
        <v>436145.95</v>
      </c>
      <c r="D172" s="34">
        <v>0</v>
      </c>
      <c r="E172" s="35">
        <v>253015.53982301001</v>
      </c>
      <c r="F172" s="34">
        <v>0</v>
      </c>
      <c r="G172" s="36">
        <v>0</v>
      </c>
      <c r="H172" s="37">
        <v>0</v>
      </c>
      <c r="I172" s="38">
        <v>0</v>
      </c>
      <c r="J172" s="39">
        <v>0.58011667842613235</v>
      </c>
      <c r="K172" s="38">
        <v>0</v>
      </c>
      <c r="L172" s="39">
        <v>0.58011667842613235</v>
      </c>
      <c r="V172" s="16" t="s">
        <v>29</v>
      </c>
      <c r="W172" s="17">
        <v>2017</v>
      </c>
      <c r="X172" s="49">
        <v>1</v>
      </c>
    </row>
    <row r="173" spans="1:24" x14ac:dyDescent="0.3">
      <c r="A173" s="7">
        <v>2018</v>
      </c>
      <c r="B173" s="7" t="s">
        <v>29</v>
      </c>
      <c r="C173" s="33">
        <v>9947.33</v>
      </c>
      <c r="D173" s="34">
        <v>0</v>
      </c>
      <c r="E173" s="35">
        <v>0</v>
      </c>
      <c r="F173" s="34">
        <v>0</v>
      </c>
      <c r="G173" s="36">
        <v>0</v>
      </c>
      <c r="H173" s="37">
        <v>0</v>
      </c>
      <c r="I173" s="38">
        <v>0</v>
      </c>
      <c r="J173" s="39">
        <v>0</v>
      </c>
      <c r="K173" s="38">
        <v>0</v>
      </c>
      <c r="L173" s="39">
        <v>0</v>
      </c>
      <c r="V173" s="16" t="s">
        <v>29</v>
      </c>
      <c r="W173" s="17">
        <v>2018</v>
      </c>
      <c r="X173" s="49">
        <v>1</v>
      </c>
    </row>
    <row r="174" spans="1:24" x14ac:dyDescent="0.3">
      <c r="A174" s="7">
        <v>2019</v>
      </c>
      <c r="B174" s="7" t="s">
        <v>29</v>
      </c>
      <c r="C174" s="33">
        <v>0</v>
      </c>
      <c r="D174" s="34">
        <v>0</v>
      </c>
      <c r="E174" s="35">
        <v>0</v>
      </c>
      <c r="F174" s="34">
        <v>0</v>
      </c>
      <c r="G174" s="36">
        <v>0</v>
      </c>
      <c r="H174" s="37">
        <v>0</v>
      </c>
      <c r="I174" s="38">
        <v>0</v>
      </c>
      <c r="J174" s="39">
        <v>0</v>
      </c>
      <c r="K174" s="38">
        <v>0</v>
      </c>
      <c r="L174" s="39">
        <v>0</v>
      </c>
      <c r="V174" s="16" t="s">
        <v>29</v>
      </c>
      <c r="W174" s="17">
        <v>2019</v>
      </c>
      <c r="X174" s="49">
        <v>1</v>
      </c>
    </row>
    <row r="175" spans="1:24" x14ac:dyDescent="0.3">
      <c r="A175" s="7">
        <v>2020</v>
      </c>
      <c r="B175" s="7" t="s">
        <v>29</v>
      </c>
      <c r="C175" s="33">
        <v>0</v>
      </c>
      <c r="D175" s="34">
        <v>0</v>
      </c>
      <c r="E175" s="35">
        <v>0</v>
      </c>
      <c r="F175" s="34">
        <v>0</v>
      </c>
      <c r="G175" s="36">
        <v>0</v>
      </c>
      <c r="H175" s="37">
        <v>0</v>
      </c>
      <c r="I175" s="38">
        <v>0</v>
      </c>
      <c r="J175" s="39">
        <v>0</v>
      </c>
      <c r="K175" s="38">
        <v>0</v>
      </c>
      <c r="L175" s="39">
        <v>0</v>
      </c>
      <c r="V175" s="16" t="s">
        <v>29</v>
      </c>
      <c r="W175" s="17">
        <v>2020</v>
      </c>
      <c r="X175" s="49">
        <v>1</v>
      </c>
    </row>
    <row r="176" spans="1:24" x14ac:dyDescent="0.3">
      <c r="A176" s="7">
        <v>2021</v>
      </c>
      <c r="B176" s="7" t="s">
        <v>29</v>
      </c>
      <c r="C176" s="33">
        <v>0</v>
      </c>
      <c r="D176" s="34">
        <v>0</v>
      </c>
      <c r="E176" s="35">
        <v>0</v>
      </c>
      <c r="F176" s="34">
        <v>0</v>
      </c>
      <c r="G176" s="36">
        <v>0</v>
      </c>
      <c r="H176" s="37">
        <v>0</v>
      </c>
      <c r="I176" s="38">
        <v>0</v>
      </c>
      <c r="J176" s="39">
        <v>0</v>
      </c>
      <c r="K176" s="38">
        <v>0</v>
      </c>
      <c r="L176" s="39">
        <v>0</v>
      </c>
      <c r="V176" s="16" t="s">
        <v>29</v>
      </c>
      <c r="W176" s="17">
        <v>2021</v>
      </c>
      <c r="X176" s="49">
        <v>1</v>
      </c>
    </row>
    <row r="177" spans="1:24" x14ac:dyDescent="0.3">
      <c r="A177" s="7">
        <v>2022</v>
      </c>
      <c r="B177" s="7" t="s">
        <v>29</v>
      </c>
      <c r="C177" s="33">
        <v>0</v>
      </c>
      <c r="D177" s="34">
        <v>0</v>
      </c>
      <c r="E177" s="35">
        <v>0</v>
      </c>
      <c r="F177" s="34">
        <v>0</v>
      </c>
      <c r="G177" s="36">
        <v>0</v>
      </c>
      <c r="H177" s="37">
        <v>0</v>
      </c>
      <c r="I177" s="38">
        <v>0</v>
      </c>
      <c r="J177" s="39">
        <v>0</v>
      </c>
      <c r="K177" s="38">
        <v>0</v>
      </c>
      <c r="L177" s="39">
        <v>0</v>
      </c>
      <c r="V177" s="16" t="s">
        <v>29</v>
      </c>
      <c r="W177" s="17">
        <v>2022</v>
      </c>
      <c r="X177" s="49">
        <v>1</v>
      </c>
    </row>
    <row r="178" spans="1:24" x14ac:dyDescent="0.3">
      <c r="A178" s="7">
        <v>2023</v>
      </c>
      <c r="B178" s="7" t="s">
        <v>29</v>
      </c>
      <c r="C178" s="33">
        <v>0</v>
      </c>
      <c r="D178" s="34">
        <v>0</v>
      </c>
      <c r="E178" s="35">
        <v>0</v>
      </c>
      <c r="F178" s="34">
        <v>0</v>
      </c>
      <c r="G178" s="36">
        <v>0</v>
      </c>
      <c r="H178" s="37">
        <v>0</v>
      </c>
      <c r="I178" s="38">
        <v>0</v>
      </c>
      <c r="J178" s="39">
        <v>0</v>
      </c>
      <c r="K178" s="38">
        <v>0</v>
      </c>
      <c r="L178" s="39">
        <v>0</v>
      </c>
      <c r="V178" s="16" t="s">
        <v>29</v>
      </c>
      <c r="W178" s="17">
        <v>2023</v>
      </c>
      <c r="X178" s="49">
        <v>1</v>
      </c>
    </row>
    <row r="179" spans="1:24" x14ac:dyDescent="0.3">
      <c r="A179" s="7">
        <v>2024</v>
      </c>
      <c r="B179" s="7" t="s">
        <v>29</v>
      </c>
      <c r="C179" s="33">
        <v>0</v>
      </c>
      <c r="D179" s="34">
        <v>0</v>
      </c>
      <c r="E179" s="35">
        <v>0</v>
      </c>
      <c r="F179" s="34">
        <v>0</v>
      </c>
      <c r="G179" s="36">
        <v>0</v>
      </c>
      <c r="H179" s="37">
        <v>0</v>
      </c>
      <c r="I179" s="38">
        <v>0</v>
      </c>
      <c r="J179" s="39">
        <v>0</v>
      </c>
      <c r="K179" s="38">
        <v>0</v>
      </c>
      <c r="L179" s="39">
        <v>0</v>
      </c>
      <c r="V179" s="16" t="s">
        <v>29</v>
      </c>
      <c r="W179" s="17">
        <v>2024</v>
      </c>
      <c r="X179" s="49">
        <v>1</v>
      </c>
    </row>
    <row r="180" spans="1:24" x14ac:dyDescent="0.3">
      <c r="A180" s="7">
        <v>2025</v>
      </c>
      <c r="B180" s="7" t="s">
        <v>29</v>
      </c>
      <c r="C180" s="33">
        <v>0</v>
      </c>
      <c r="D180" s="34">
        <v>0</v>
      </c>
      <c r="E180" s="35">
        <v>0</v>
      </c>
      <c r="F180" s="34">
        <v>0</v>
      </c>
      <c r="G180" s="36">
        <v>0</v>
      </c>
      <c r="H180" s="37">
        <v>0</v>
      </c>
      <c r="I180" s="38">
        <v>0</v>
      </c>
      <c r="J180" s="39">
        <v>0</v>
      </c>
      <c r="K180" s="38">
        <v>0</v>
      </c>
      <c r="L180" s="39">
        <v>0</v>
      </c>
      <c r="V180" s="16" t="s">
        <v>29</v>
      </c>
      <c r="W180" s="17">
        <v>2025</v>
      </c>
      <c r="X180" s="49">
        <v>1</v>
      </c>
    </row>
    <row r="181" spans="1:24" x14ac:dyDescent="0.3">
      <c r="A181" s="7">
        <v>2026</v>
      </c>
      <c r="B181" s="7" t="s">
        <v>29</v>
      </c>
      <c r="C181" s="33">
        <v>0</v>
      </c>
      <c r="D181" s="34">
        <v>0</v>
      </c>
      <c r="E181" s="35">
        <v>0</v>
      </c>
      <c r="F181" s="34">
        <v>0</v>
      </c>
      <c r="G181" s="36">
        <v>0</v>
      </c>
      <c r="H181" s="37">
        <v>0</v>
      </c>
      <c r="I181" s="38">
        <v>0</v>
      </c>
      <c r="J181" s="39">
        <v>0</v>
      </c>
      <c r="K181" s="38">
        <v>0</v>
      </c>
      <c r="L181" s="39">
        <v>0</v>
      </c>
      <c r="V181" s="16" t="s">
        <v>29</v>
      </c>
      <c r="W181" s="17">
        <v>2026</v>
      </c>
      <c r="X181" s="49">
        <v>1</v>
      </c>
    </row>
    <row r="182" spans="1:24" x14ac:dyDescent="0.3">
      <c r="A182" s="7">
        <v>2017</v>
      </c>
      <c r="B182" s="7" t="s">
        <v>30</v>
      </c>
      <c r="C182" s="33">
        <v>9420769.8999999985</v>
      </c>
      <c r="D182" s="34">
        <v>1376116.5514950301</v>
      </c>
      <c r="E182" s="35">
        <v>9019512.418235952</v>
      </c>
      <c r="F182" s="34">
        <v>0</v>
      </c>
      <c r="G182" s="36">
        <v>778088.27776404656</v>
      </c>
      <c r="H182" s="37">
        <v>870892.8282537316</v>
      </c>
      <c r="I182" s="38">
        <v>2154204.8292590766</v>
      </c>
      <c r="J182" s="39">
        <v>1.04</v>
      </c>
      <c r="K182" s="38">
        <v>2247009.3797487617</v>
      </c>
      <c r="L182" s="39">
        <v>1.0498510579787841</v>
      </c>
      <c r="V182" s="16" t="s">
        <v>30</v>
      </c>
      <c r="W182" s="17">
        <v>2017</v>
      </c>
      <c r="X182" s="49">
        <v>1</v>
      </c>
    </row>
    <row r="183" spans="1:24" x14ac:dyDescent="0.3">
      <c r="A183" s="7">
        <v>2018</v>
      </c>
      <c r="B183" s="7" t="s">
        <v>30</v>
      </c>
      <c r="C183" s="33">
        <v>453577.02539928613</v>
      </c>
      <c r="D183" s="34">
        <v>0</v>
      </c>
      <c r="E183" s="35">
        <v>842730.75400000007</v>
      </c>
      <c r="F183" s="34">
        <v>0</v>
      </c>
      <c r="G183" s="36">
        <v>32190.622633933519</v>
      </c>
      <c r="H183" s="37">
        <v>36030.079349706342</v>
      </c>
      <c r="I183" s="38">
        <v>32190.622633933519</v>
      </c>
      <c r="J183" s="39">
        <v>1.9289367133702064</v>
      </c>
      <c r="K183" s="38">
        <v>36030.079349706342</v>
      </c>
      <c r="L183" s="39">
        <v>1.9374015528589192</v>
      </c>
      <c r="V183" s="16" t="s">
        <v>30</v>
      </c>
      <c r="W183" s="17">
        <v>2018</v>
      </c>
      <c r="X183" s="49">
        <v>1</v>
      </c>
    </row>
    <row r="184" spans="1:24" x14ac:dyDescent="0.3">
      <c r="A184" s="7">
        <v>2019</v>
      </c>
      <c r="B184" s="7" t="s">
        <v>30</v>
      </c>
      <c r="C184" s="33">
        <v>118730.82188883245</v>
      </c>
      <c r="D184" s="34">
        <v>0</v>
      </c>
      <c r="E184" s="35">
        <v>0</v>
      </c>
      <c r="F184" s="34">
        <v>0</v>
      </c>
      <c r="G184" s="36">
        <v>2061.1792963697922</v>
      </c>
      <c r="H184" s="37">
        <v>2343.4057952280618</v>
      </c>
      <c r="I184" s="38">
        <v>2061.1792963697922</v>
      </c>
      <c r="J184" s="39">
        <v>1.7360102992461993E-2</v>
      </c>
      <c r="K184" s="38">
        <v>2343.4057952280618</v>
      </c>
      <c r="L184" s="39">
        <v>1.9737131083133498E-2</v>
      </c>
      <c r="V184" s="16" t="s">
        <v>30</v>
      </c>
      <c r="W184" s="17">
        <v>2019</v>
      </c>
      <c r="X184" s="49">
        <v>1</v>
      </c>
    </row>
    <row r="185" spans="1:24" x14ac:dyDescent="0.3">
      <c r="A185" s="7">
        <v>2020</v>
      </c>
      <c r="B185" s="7" t="s">
        <v>30</v>
      </c>
      <c r="C185" s="33">
        <v>0</v>
      </c>
      <c r="D185" s="34">
        <v>0</v>
      </c>
      <c r="E185" s="35">
        <v>0</v>
      </c>
      <c r="F185" s="34">
        <v>0</v>
      </c>
      <c r="G185" s="36">
        <v>0</v>
      </c>
      <c r="H185" s="37">
        <v>0</v>
      </c>
      <c r="I185" s="38">
        <v>0</v>
      </c>
      <c r="J185" s="39">
        <v>0</v>
      </c>
      <c r="K185" s="38">
        <v>0</v>
      </c>
      <c r="L185" s="39">
        <v>0</v>
      </c>
      <c r="V185" s="16" t="s">
        <v>30</v>
      </c>
      <c r="W185" s="17">
        <v>2020</v>
      </c>
      <c r="X185" s="49">
        <v>0</v>
      </c>
    </row>
    <row r="186" spans="1:24" x14ac:dyDescent="0.3">
      <c r="A186" s="7">
        <v>2021</v>
      </c>
      <c r="B186" s="7" t="s">
        <v>30</v>
      </c>
      <c r="C186" s="33">
        <v>0</v>
      </c>
      <c r="D186" s="34">
        <v>0</v>
      </c>
      <c r="E186" s="35">
        <v>0</v>
      </c>
      <c r="F186" s="34">
        <v>0</v>
      </c>
      <c r="G186" s="36">
        <v>0</v>
      </c>
      <c r="H186" s="37">
        <v>0</v>
      </c>
      <c r="I186" s="38">
        <v>0</v>
      </c>
      <c r="J186" s="39">
        <v>0</v>
      </c>
      <c r="K186" s="38">
        <v>0</v>
      </c>
      <c r="L186" s="39">
        <v>0</v>
      </c>
      <c r="V186" s="16" t="s">
        <v>30</v>
      </c>
      <c r="W186" s="17">
        <v>2021</v>
      </c>
      <c r="X186" s="49">
        <v>1</v>
      </c>
    </row>
    <row r="187" spans="1:24" x14ac:dyDescent="0.3">
      <c r="A187" s="7">
        <v>2022</v>
      </c>
      <c r="B187" s="7" t="s">
        <v>30</v>
      </c>
      <c r="C187" s="33">
        <v>0</v>
      </c>
      <c r="D187" s="34">
        <v>0</v>
      </c>
      <c r="E187" s="35">
        <v>0</v>
      </c>
      <c r="F187" s="34">
        <v>0</v>
      </c>
      <c r="G187" s="36">
        <v>0</v>
      </c>
      <c r="H187" s="37">
        <v>0</v>
      </c>
      <c r="I187" s="38">
        <v>0</v>
      </c>
      <c r="J187" s="39">
        <v>0</v>
      </c>
      <c r="K187" s="38">
        <v>0</v>
      </c>
      <c r="L187" s="39">
        <v>0</v>
      </c>
      <c r="V187" s="16" t="s">
        <v>30</v>
      </c>
      <c r="W187" s="17">
        <v>2022</v>
      </c>
      <c r="X187" s="49">
        <v>1</v>
      </c>
    </row>
    <row r="188" spans="1:24" x14ac:dyDescent="0.3">
      <c r="A188" s="7">
        <v>2023</v>
      </c>
      <c r="B188" s="7" t="s">
        <v>30</v>
      </c>
      <c r="C188" s="33">
        <v>0</v>
      </c>
      <c r="D188" s="34">
        <v>0</v>
      </c>
      <c r="E188" s="35">
        <v>0</v>
      </c>
      <c r="F188" s="34">
        <v>0</v>
      </c>
      <c r="G188" s="36">
        <v>0</v>
      </c>
      <c r="H188" s="37">
        <v>0</v>
      </c>
      <c r="I188" s="38">
        <v>0</v>
      </c>
      <c r="J188" s="39">
        <v>0</v>
      </c>
      <c r="K188" s="38">
        <v>0</v>
      </c>
      <c r="L188" s="39">
        <v>0</v>
      </c>
      <c r="V188" s="16" t="s">
        <v>30</v>
      </c>
      <c r="W188" s="17">
        <v>2023</v>
      </c>
      <c r="X188" s="49">
        <v>1</v>
      </c>
    </row>
    <row r="189" spans="1:24" x14ac:dyDescent="0.3">
      <c r="A189" s="7">
        <v>2024</v>
      </c>
      <c r="B189" s="7" t="s">
        <v>30</v>
      </c>
      <c r="C189" s="33">
        <v>0</v>
      </c>
      <c r="D189" s="34">
        <v>0</v>
      </c>
      <c r="E189" s="35">
        <v>0</v>
      </c>
      <c r="F189" s="34">
        <v>0</v>
      </c>
      <c r="G189" s="36">
        <v>0</v>
      </c>
      <c r="H189" s="37">
        <v>0</v>
      </c>
      <c r="I189" s="38">
        <v>0</v>
      </c>
      <c r="J189" s="39">
        <v>0</v>
      </c>
      <c r="K189" s="38">
        <v>0</v>
      </c>
      <c r="L189" s="39">
        <v>0</v>
      </c>
      <c r="V189" s="16" t="s">
        <v>30</v>
      </c>
      <c r="W189" s="17">
        <v>2024</v>
      </c>
      <c r="X189" s="49">
        <v>1</v>
      </c>
    </row>
    <row r="190" spans="1:24" x14ac:dyDescent="0.3">
      <c r="A190" s="7">
        <v>2025</v>
      </c>
      <c r="B190" s="7" t="s">
        <v>30</v>
      </c>
      <c r="C190" s="33">
        <v>0</v>
      </c>
      <c r="D190" s="34">
        <v>0</v>
      </c>
      <c r="E190" s="35">
        <v>0</v>
      </c>
      <c r="F190" s="34">
        <v>0</v>
      </c>
      <c r="G190" s="36">
        <v>0</v>
      </c>
      <c r="H190" s="37">
        <v>0</v>
      </c>
      <c r="I190" s="38">
        <v>0</v>
      </c>
      <c r="J190" s="39">
        <v>0</v>
      </c>
      <c r="K190" s="38">
        <v>0</v>
      </c>
      <c r="L190" s="39">
        <v>0</v>
      </c>
      <c r="V190" s="16" t="s">
        <v>30</v>
      </c>
      <c r="W190" s="17">
        <v>2025</v>
      </c>
      <c r="X190" s="49">
        <v>1</v>
      </c>
    </row>
    <row r="191" spans="1:24" x14ac:dyDescent="0.3">
      <c r="A191" s="7">
        <v>2026</v>
      </c>
      <c r="B191" s="7" t="s">
        <v>30</v>
      </c>
      <c r="C191" s="33">
        <v>0</v>
      </c>
      <c r="D191" s="34">
        <v>0</v>
      </c>
      <c r="E191" s="35">
        <v>0</v>
      </c>
      <c r="F191" s="34">
        <v>0</v>
      </c>
      <c r="G191" s="36">
        <v>0</v>
      </c>
      <c r="H191" s="37">
        <v>0</v>
      </c>
      <c r="I191" s="38">
        <v>0</v>
      </c>
      <c r="J191" s="39">
        <v>0</v>
      </c>
      <c r="K191" s="38">
        <v>0</v>
      </c>
      <c r="L191" s="39">
        <v>0</v>
      </c>
      <c r="V191" s="16" t="s">
        <v>30</v>
      </c>
      <c r="W191" s="17">
        <v>2026</v>
      </c>
      <c r="X191" s="49">
        <v>1</v>
      </c>
    </row>
    <row r="192" spans="1:24" x14ac:dyDescent="0.3">
      <c r="A192" s="7">
        <v>2017</v>
      </c>
      <c r="B192" s="7" t="s">
        <v>31</v>
      </c>
      <c r="C192" s="33">
        <v>11827137.199999999</v>
      </c>
      <c r="D192" s="34">
        <v>0</v>
      </c>
      <c r="E192" s="35">
        <v>0</v>
      </c>
      <c r="F192" s="34">
        <v>0</v>
      </c>
      <c r="G192" s="36">
        <v>0</v>
      </c>
      <c r="H192" s="37">
        <v>0</v>
      </c>
      <c r="I192" s="38">
        <v>0</v>
      </c>
      <c r="J192" s="39">
        <v>0</v>
      </c>
      <c r="K192" s="38">
        <v>0</v>
      </c>
      <c r="L192" s="39">
        <v>0</v>
      </c>
      <c r="V192" s="16" t="s">
        <v>31</v>
      </c>
      <c r="W192" s="17">
        <v>2017</v>
      </c>
      <c r="X192" s="49">
        <v>1</v>
      </c>
    </row>
    <row r="193" spans="1:24" x14ac:dyDescent="0.3">
      <c r="A193" s="7">
        <v>2018</v>
      </c>
      <c r="B193" s="7" t="s">
        <v>31</v>
      </c>
      <c r="C193" s="33">
        <v>24678948.84</v>
      </c>
      <c r="D193" s="34">
        <v>0</v>
      </c>
      <c r="E193" s="35">
        <v>0</v>
      </c>
      <c r="F193" s="34">
        <v>0</v>
      </c>
      <c r="G193" s="36">
        <v>0</v>
      </c>
      <c r="H193" s="37">
        <v>0</v>
      </c>
      <c r="I193" s="38">
        <v>0</v>
      </c>
      <c r="J193" s="39">
        <v>0</v>
      </c>
      <c r="K193" s="38">
        <v>0</v>
      </c>
      <c r="L193" s="39">
        <v>0</v>
      </c>
      <c r="V193" s="16" t="s">
        <v>31</v>
      </c>
      <c r="W193" s="17">
        <v>2018</v>
      </c>
      <c r="X193" s="49">
        <v>1</v>
      </c>
    </row>
    <row r="194" spans="1:24" x14ac:dyDescent="0.3">
      <c r="A194" s="7">
        <v>2019</v>
      </c>
      <c r="B194" s="7" t="s">
        <v>31</v>
      </c>
      <c r="C194" s="33">
        <v>26620613.940000005</v>
      </c>
      <c r="D194" s="34">
        <v>0</v>
      </c>
      <c r="E194" s="35">
        <v>0</v>
      </c>
      <c r="F194" s="34">
        <v>0</v>
      </c>
      <c r="G194" s="36">
        <v>0</v>
      </c>
      <c r="H194" s="37">
        <v>0</v>
      </c>
      <c r="I194" s="38">
        <v>0</v>
      </c>
      <c r="J194" s="39">
        <v>0</v>
      </c>
      <c r="K194" s="38">
        <v>0</v>
      </c>
      <c r="L194" s="39">
        <v>0</v>
      </c>
      <c r="V194" s="16" t="s">
        <v>31</v>
      </c>
      <c r="W194" s="17">
        <v>2019</v>
      </c>
      <c r="X194" s="49">
        <v>1</v>
      </c>
    </row>
    <row r="195" spans="1:24" x14ac:dyDescent="0.3">
      <c r="A195" s="7">
        <v>2020</v>
      </c>
      <c r="B195" s="7" t="s">
        <v>31</v>
      </c>
      <c r="C195" s="33">
        <v>28155831.599999983</v>
      </c>
      <c r="D195" s="34">
        <v>0</v>
      </c>
      <c r="E195" s="35">
        <v>0</v>
      </c>
      <c r="F195" s="34">
        <v>0</v>
      </c>
      <c r="G195" s="36">
        <v>0</v>
      </c>
      <c r="H195" s="37">
        <v>0</v>
      </c>
      <c r="I195" s="38">
        <v>0</v>
      </c>
      <c r="J195" s="39">
        <v>0</v>
      </c>
      <c r="K195" s="38">
        <v>0</v>
      </c>
      <c r="L195" s="39">
        <v>0</v>
      </c>
      <c r="V195" s="16" t="s">
        <v>31</v>
      </c>
      <c r="W195" s="17">
        <v>2020</v>
      </c>
      <c r="X195" s="49">
        <v>1</v>
      </c>
    </row>
    <row r="196" spans="1:24" x14ac:dyDescent="0.3">
      <c r="A196" s="7">
        <v>2021</v>
      </c>
      <c r="B196" s="7" t="s">
        <v>31</v>
      </c>
      <c r="C196" s="33">
        <v>15818006.190000003</v>
      </c>
      <c r="D196" s="34">
        <v>0</v>
      </c>
      <c r="E196" s="35">
        <v>0</v>
      </c>
      <c r="F196" s="34">
        <v>0</v>
      </c>
      <c r="G196" s="36">
        <v>0</v>
      </c>
      <c r="H196" s="37">
        <v>0</v>
      </c>
      <c r="I196" s="38">
        <v>0</v>
      </c>
      <c r="J196" s="39">
        <v>0</v>
      </c>
      <c r="K196" s="38">
        <v>0</v>
      </c>
      <c r="L196" s="39">
        <v>0</v>
      </c>
      <c r="V196" s="16" t="s">
        <v>31</v>
      </c>
      <c r="W196" s="17">
        <v>2021</v>
      </c>
      <c r="X196" s="49">
        <v>1</v>
      </c>
    </row>
    <row r="197" spans="1:24" x14ac:dyDescent="0.3">
      <c r="A197" s="7">
        <v>2022</v>
      </c>
      <c r="B197" s="7" t="s">
        <v>31</v>
      </c>
      <c r="C197" s="33">
        <v>22590559.879999999</v>
      </c>
      <c r="D197" s="34">
        <v>0</v>
      </c>
      <c r="E197" s="35">
        <v>0</v>
      </c>
      <c r="F197" s="34">
        <v>0</v>
      </c>
      <c r="G197" s="36">
        <v>0</v>
      </c>
      <c r="H197" s="37">
        <v>0</v>
      </c>
      <c r="I197" s="38">
        <v>0</v>
      </c>
      <c r="J197" s="39">
        <v>0</v>
      </c>
      <c r="K197" s="38">
        <v>0</v>
      </c>
      <c r="L197" s="39">
        <v>0</v>
      </c>
      <c r="V197" s="16" t="s">
        <v>31</v>
      </c>
      <c r="W197" s="17">
        <v>2022</v>
      </c>
      <c r="X197" s="49">
        <v>1</v>
      </c>
    </row>
    <row r="198" spans="1:24" x14ac:dyDescent="0.3">
      <c r="A198" s="7">
        <v>2023</v>
      </c>
      <c r="B198" s="7" t="s">
        <v>31</v>
      </c>
      <c r="C198" s="33">
        <v>24102035.839999996</v>
      </c>
      <c r="D198" s="34">
        <v>0</v>
      </c>
      <c r="E198" s="35">
        <v>0</v>
      </c>
      <c r="F198" s="34">
        <v>0</v>
      </c>
      <c r="G198" s="36">
        <v>0</v>
      </c>
      <c r="H198" s="37">
        <v>0</v>
      </c>
      <c r="I198" s="38">
        <v>0</v>
      </c>
      <c r="J198" s="39">
        <v>0</v>
      </c>
      <c r="K198" s="38">
        <v>0</v>
      </c>
      <c r="L198" s="39">
        <v>0</v>
      </c>
      <c r="V198" s="16" t="s">
        <v>31</v>
      </c>
      <c r="W198" s="17">
        <v>2023</v>
      </c>
      <c r="X198" s="49">
        <v>1</v>
      </c>
    </row>
    <row r="199" spans="1:24" x14ac:dyDescent="0.3">
      <c r="A199" s="7">
        <v>2024</v>
      </c>
      <c r="B199" s="7" t="s">
        <v>31</v>
      </c>
      <c r="C199" s="33">
        <v>6008436.0700000003</v>
      </c>
      <c r="D199" s="34">
        <v>0</v>
      </c>
      <c r="E199" s="35">
        <v>0</v>
      </c>
      <c r="F199" s="34">
        <v>0</v>
      </c>
      <c r="G199" s="36">
        <v>0</v>
      </c>
      <c r="H199" s="37">
        <v>0</v>
      </c>
      <c r="I199" s="38">
        <v>0</v>
      </c>
      <c r="J199" s="39">
        <v>0</v>
      </c>
      <c r="K199" s="38">
        <v>0</v>
      </c>
      <c r="L199" s="39">
        <v>0</v>
      </c>
      <c r="V199" s="16" t="s">
        <v>31</v>
      </c>
      <c r="W199" s="17">
        <v>2024</v>
      </c>
      <c r="X199" s="49">
        <v>1</v>
      </c>
    </row>
    <row r="200" spans="1:24" x14ac:dyDescent="0.3">
      <c r="A200" s="7">
        <v>2025</v>
      </c>
      <c r="B200" s="7" t="s">
        <v>31</v>
      </c>
      <c r="C200" s="33">
        <v>0</v>
      </c>
      <c r="D200" s="34">
        <v>0</v>
      </c>
      <c r="E200" s="35">
        <v>0</v>
      </c>
      <c r="F200" s="34">
        <v>0</v>
      </c>
      <c r="G200" s="36">
        <v>0</v>
      </c>
      <c r="H200" s="37">
        <v>0</v>
      </c>
      <c r="I200" s="38">
        <v>0</v>
      </c>
      <c r="J200" s="39">
        <v>0</v>
      </c>
      <c r="K200" s="38">
        <v>0</v>
      </c>
      <c r="L200" s="39">
        <v>0</v>
      </c>
      <c r="V200" s="16" t="s">
        <v>31</v>
      </c>
      <c r="W200" s="17">
        <v>2025</v>
      </c>
      <c r="X200" s="49">
        <v>1</v>
      </c>
    </row>
    <row r="201" spans="1:24" x14ac:dyDescent="0.3">
      <c r="A201" s="7">
        <v>2026</v>
      </c>
      <c r="B201" s="7" t="s">
        <v>31</v>
      </c>
      <c r="C201" s="33">
        <v>0</v>
      </c>
      <c r="D201" s="34">
        <v>0</v>
      </c>
      <c r="E201" s="35">
        <v>0</v>
      </c>
      <c r="F201" s="34">
        <v>0</v>
      </c>
      <c r="G201" s="36">
        <v>0</v>
      </c>
      <c r="H201" s="37">
        <v>0</v>
      </c>
      <c r="I201" s="38">
        <v>0</v>
      </c>
      <c r="J201" s="39">
        <v>0</v>
      </c>
      <c r="K201" s="38">
        <v>0</v>
      </c>
      <c r="L201" s="39">
        <v>0</v>
      </c>
      <c r="V201" s="19" t="s">
        <v>31</v>
      </c>
      <c r="W201" s="18">
        <v>2026</v>
      </c>
      <c r="X201" s="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655F-6924-4077-8ADF-EEA73B4BC10B}">
  <dimension ref="A1:M203"/>
  <sheetViews>
    <sheetView workbookViewId="0">
      <selection activeCell="H11" sqref="H11"/>
    </sheetView>
  </sheetViews>
  <sheetFormatPr defaultRowHeight="14.4" x14ac:dyDescent="0.3"/>
  <sheetData>
    <row r="1" spans="1:13" x14ac:dyDescent="0.3">
      <c r="H1" s="32">
        <v>-1</v>
      </c>
      <c r="I1" s="32">
        <v>3</v>
      </c>
    </row>
    <row r="2" spans="1:13" ht="24.6" thickBot="1" x14ac:dyDescent="0.35">
      <c r="H2" s="20" t="s">
        <v>47</v>
      </c>
      <c r="I2" s="21" t="s">
        <v>48</v>
      </c>
    </row>
    <row r="3" spans="1:13" ht="36.6" thickBot="1" x14ac:dyDescent="0.35">
      <c r="A3" s="31" t="s">
        <v>0</v>
      </c>
      <c r="B3" s="31" t="s">
        <v>1</v>
      </c>
      <c r="C3" s="20" t="s">
        <v>40</v>
      </c>
      <c r="D3" s="21" t="s">
        <v>41</v>
      </c>
      <c r="E3" s="22" t="s">
        <v>42</v>
      </c>
      <c r="F3" s="21" t="s">
        <v>43</v>
      </c>
      <c r="G3" s="23" t="s">
        <v>44</v>
      </c>
      <c r="H3" s="23" t="s">
        <v>45</v>
      </c>
      <c r="I3" s="23" t="s">
        <v>46</v>
      </c>
      <c r="J3" s="23"/>
      <c r="K3" s="23"/>
      <c r="L3" s="23"/>
      <c r="M3" s="23"/>
    </row>
    <row r="4" spans="1:13" x14ac:dyDescent="0.3">
      <c r="A4" s="24" cm="1">
        <f t="array" ref="A4:A203">_xlfn.CHOOSEROWS(Params!C1:C10, MOD(_xlfn.SEQUENCE(10 * COUNTA(Params!A1:A20)) - 1, 10) + 1)</f>
        <v>2017</v>
      </c>
      <c r="B4" s="24" cm="1" t="str">
        <f t="array" aca="1" ref="B4" ca="1">INDIRECT("'Params'!A" &amp; (QUOTIENT(ROW(A4)-4, 10) + 1))</f>
        <v>ENUPS</v>
      </c>
      <c r="C4" s="25">
        <f ca="1">SUMIFS(Inputs!$F$2:$F$201,Inputs!$A$2:$A$201,$A4,Inputs!$B$2:$B$201,$B4)+SUMIFS(Inputs!$D$2:$D$201,Inputs!$A$2:$A$201,$A4,Inputs!$B$2:$B$201,$B4)+SUMIFS(Inputs!$G$2:$G$201,Inputs!$A$2:$A$201,$A4,Inputs!$B$2:$B$201,$B4)*+SUMIFS(Inputs!$X$2:$X$201,Inputs!$W$2:$W$201,$A4,Inputs!$V$2:$V$201,$B4)</f>
        <v>0.010316866470018948</v>
      </c>
      <c r="D4" s="26">
        <f ca="1">IFERROR(SUMIFS(Inputs!$G$2:$G$201,Inputs!$A$2:$A$201,$A4,Inputs!$B$2:$B$201,$B4)/SUMIFS(Inputs!$C$2:$C$201,Inputs!$A$2:$A$201,$A4,Inputs!$B$2:$B$201,$B4),0)</f>
        <v>0.0</v>
      </c>
      <c r="E4" s="25">
        <f ca="1">SUMIFS(Inputs!$F$2:$F$201,Inputs!$A$2:$A$201,$A4,Inputs!$B$2:$B$201,$B4)+SUMIFS(Inputs!$D$2:$D$201,Inputs!$A$2:$A$201,$A4,Inputs!$B$2:$B$201,$B4)+SUMIFS(Inputs!$H$2:$H$201,Inputs!$A$2:$A$201,$A4,Inputs!$B$2:$B$201,$B4)*+SUMIFS(Inputs!$X$2:$X$201,Inputs!$W$2:$W$201,$A4,Inputs!$V$2:$V$201,$B4)</f>
        <v>0.010316866470018948</v>
      </c>
      <c r="F4" s="26">
        <f ca="1">IFERROR(SUMIFS(Inputs!$H$2:$H$201,Inputs!$A$2:$A$201,$A4,Inputs!$B$2:$B$201,$B4)/SUMIFS(Inputs!$C$2:$C$201,Inputs!$A$2:$A$201,$A4,Inputs!$B$2:$B$201,$B4),0)</f>
        <v>0.0</v>
      </c>
      <c r="G4" s="27">
        <f ca="1">D4*SUMIFS(Inputs!$R$2:$R$23,Inputs!$P$2:$P$23,$B4)/SUMIFS(Inputs!$Q$2:$Q$23,Inputs!$P$2:$P$23,$B4)</f>
        <v>0.0</v>
      </c>
      <c r="H4" s="27">
        <f ca="1">MAX(G4,$H$1)</f>
        <v>0.0</v>
      </c>
      <c r="I4" s="27">
        <f ca="1">MIN(G4,$I$1)</f>
        <v>0.0</v>
      </c>
      <c r="J4" s="28"/>
      <c r="K4" s="25"/>
      <c r="L4" s="25"/>
      <c r="M4" s="29"/>
    </row>
    <row r="5" spans="1:13" x14ac:dyDescent="0.3">
      <c r="A5" s="24">
        <v>2018</v>
      </c>
      <c r="B5" s="24" cm="1" t="str">
        <f t="array" aca="1" ref="B5" ca="1">INDIRECT("'Params'!A" &amp; (QUOTIENT(ROW(A5)-4, 10) + 1))</f>
        <v>ENUPS</v>
      </c>
      <c r="C5" s="25">
        <f ca="1">SUMIFS(Inputs!$F$2:$F$201,Inputs!$A$2:$A$201,$A5,Inputs!$B$2:$B$201,$B5)+SUMIFS(Inputs!$D$2:$D$201,Inputs!$A$2:$A$201,$A5,Inputs!$B$2:$B$201,$B5)+SUMIFS(Inputs!$G$2:$G$201,Inputs!$A$2:$A$201,$A5,Inputs!$B$2:$B$201,$B5)*+SUMIFS(Inputs!$X$2:$X$201,Inputs!$W$2:$W$201,$A5,Inputs!$V$2:$V$201,$B5)</f>
        <v>68183.49240539395</v>
      </c>
      <c r="D5" s="26">
        <f ca="1">IFERROR(SUMIFS(Inputs!$G$2:$G$201,Inputs!$A$2:$A$201,$A5,Inputs!$B$2:$B$201,$B5)/SUMIFS(Inputs!$C$2:$C$201,Inputs!$A$2:$A$201,$A5,Inputs!$B$2:$B$201,$B5),0)</f>
        <v>1.5571260848671626e-05</v>
      </c>
      <c r="E5" s="25">
        <f ca="1">SUMIFS(Inputs!$F$2:$F$201,Inputs!$A$2:$A$201,$A5,Inputs!$B$2:$B$201,$B5)+SUMIFS(Inputs!$D$2:$D$201,Inputs!$A$2:$A$201,$A5,Inputs!$B$2:$B$201,$B5)+SUMIFS(Inputs!$H$2:$H$201,Inputs!$A$2:$A$201,$A5,Inputs!$B$2:$B$201,$B5)*+SUMIFS(Inputs!$X$2:$X$201,Inputs!$W$2:$W$201,$A5,Inputs!$V$2:$V$201,$B5)</f>
        <v>68243.26494590548</v>
      </c>
      <c r="F5" s="26">
        <f ca="1">IFERROR(SUMIFS(Inputs!$H$2:$H$201,Inputs!$A$2:$A$201,$A5,Inputs!$B$2:$B$201,$B5)/SUMIFS(Inputs!$C$2:$C$201,Inputs!$A$2:$A$201,$A5,Inputs!$B$2:$B$201,$B5),0)</f>
        <v>1.8829116219483543e-05</v>
      </c>
      <c r="G5" s="27">
        <f ca="1">D5*SUMIFS(Inputs!$R$2:$R$23,Inputs!$P$2:$P$23,$B5)/SUMIFS(Inputs!$Q$2:$Q$23,Inputs!$P$2:$P$23,$B5)</f>
        <v>1.5021282902167232e-05</v>
      </c>
      <c r="H5" s="27">
        <f ca="1">MAX(G5,$H$1)</f>
        <v>1.5021282902167232e-05</v>
      </c>
      <c r="I5" s="27">
        <f ca="1">MIN(G5,$I$1)</f>
        <v>1.5021282902167232e-05</v>
      </c>
      <c r="J5" s="28"/>
      <c r="K5" s="25"/>
      <c r="L5" s="25"/>
      <c r="M5" s="29"/>
    </row>
    <row r="6" spans="1:13" x14ac:dyDescent="0.3">
      <c r="A6" s="24">
        <v>2019</v>
      </c>
      <c r="B6" s="24" cm="1" t="str">
        <f t="array" aca="1" ref="B6" ca="1">INDIRECT("'Params'!A" &amp; (QUOTIENT(ROW(A6)-4, 10) + 1))</f>
        <v>ENUPS</v>
      </c>
      <c r="C6" s="25">
        <f ca="1">SUMIFS(Inputs!$F$2:$F$201,Inputs!$A$2:$A$201,$A6,Inputs!$B$2:$B$201,$B6)+SUMIFS(Inputs!$D$2:$D$201,Inputs!$A$2:$A$201,$A6,Inputs!$B$2:$B$201,$B6)+SUMIFS(Inputs!$G$2:$G$201,Inputs!$A$2:$A$201,$A6,Inputs!$B$2:$B$201,$B6)*+SUMIFS(Inputs!$X$2:$X$201,Inputs!$W$2:$W$201,$A6,Inputs!$V$2:$V$201,$B6)</f>
        <v>223803.75756478016</v>
      </c>
      <c r="D6" s="26">
        <f ca="1">IFERROR(SUMIFS(Inputs!$G$2:$G$201,Inputs!$A$2:$A$201,$A6,Inputs!$B$2:$B$201,$B6)/SUMIFS(Inputs!$C$2:$C$201,Inputs!$A$2:$A$201,$A6,Inputs!$B$2:$B$201,$B6),0)</f>
        <v>0.000308362331643824</v>
      </c>
      <c r="E6" s="25">
        <f ca="1">SUMIFS(Inputs!$F$2:$F$201,Inputs!$A$2:$A$201,$A6,Inputs!$B$2:$B$201,$B6)+SUMIFS(Inputs!$D$2:$D$201,Inputs!$A$2:$A$201,$A6,Inputs!$B$2:$B$201,$B6)+SUMIFS(Inputs!$H$2:$H$201,Inputs!$A$2:$A$201,$A6,Inputs!$B$2:$B$201,$B6)*+SUMIFS(Inputs!$X$2:$X$201,Inputs!$W$2:$W$201,$A6,Inputs!$V$2:$V$201,$B6)</f>
        <v>225431.41717168476</v>
      </c>
      <c r="F6" s="26">
        <f ca="1">IFERROR(SUMIFS(Inputs!$H$2:$H$201,Inputs!$A$2:$A$201,$A6,Inputs!$B$2:$B$201,$B6)/SUMIFS(Inputs!$C$2:$C$201,Inputs!$A$2:$A$201,$A6,Inputs!$B$2:$B$201,$B6),0)</f>
        <v>0.00037287861507552956</v>
      </c>
      <c r="G6" s="27">
        <f ca="1">D6*SUMIFS(Inputs!$R$2:$R$23,Inputs!$P$2:$P$23,$B6)/SUMIFS(Inputs!$Q$2:$Q$23,Inputs!$P$2:$P$23,$B6)</f>
        <v>0.00029747095402290097</v>
      </c>
      <c r="H6" s="27">
        <f ca="1">MAX(G6,$H$1)</f>
        <v>0.00029747095402290097</v>
      </c>
      <c r="I6" s="27">
        <f ca="1">MIN(G6,$I$1)</f>
        <v>0.00029747095402290097</v>
      </c>
      <c r="J6" s="28"/>
      <c r="K6" s="25"/>
      <c r="L6" s="25"/>
      <c r="M6" s="29"/>
    </row>
    <row r="7" spans="1:13" x14ac:dyDescent="0.3">
      <c r="A7" s="24">
        <v>2020</v>
      </c>
      <c r="B7" s="24" cm="1" t="str">
        <f t="array" aca="1" ref="B7" ca="1">INDIRECT("'Params'!A" &amp; (QUOTIENT(ROW(A7)-4, 10) + 1))</f>
        <v>ENUPS</v>
      </c>
      <c r="C7" s="25">
        <f ca="1">SUMIFS(Inputs!$F$2:$F$201,Inputs!$A$2:$A$201,$A7,Inputs!$B$2:$B$201,$B7)+SUMIFS(Inputs!$D$2:$D$201,Inputs!$A$2:$A$201,$A7,Inputs!$B$2:$B$201,$B7)+SUMIFS(Inputs!$G$2:$G$201,Inputs!$A$2:$A$201,$A7,Inputs!$B$2:$B$201,$B7)*+SUMIFS(Inputs!$X$2:$X$201,Inputs!$W$2:$W$201,$A7,Inputs!$V$2:$V$201,$B7)</f>
        <v>1441753.736728325</v>
      </c>
      <c r="D7" s="26">
        <f ca="1">IFERROR(SUMIFS(Inputs!$G$2:$G$201,Inputs!$A$2:$A$201,$A7,Inputs!$B$2:$B$201,$B7)/SUMIFS(Inputs!$C$2:$C$201,Inputs!$A$2:$A$201,$A7,Inputs!$B$2:$B$201,$B7),0)</f>
        <v>0.0014575380620275372</v>
      </c>
      <c r="E7" s="25">
        <f ca="1">SUMIFS(Inputs!$F$2:$F$201,Inputs!$A$2:$A$201,$A7,Inputs!$B$2:$B$201,$B7)+SUMIFS(Inputs!$D$2:$D$201,Inputs!$A$2:$A$201,$A7,Inputs!$B$2:$B$201,$B7)+SUMIFS(Inputs!$H$2:$H$201,Inputs!$A$2:$A$201,$A7,Inputs!$B$2:$B$201,$B7)*+SUMIFS(Inputs!$X$2:$X$201,Inputs!$W$2:$W$201,$A7,Inputs!$V$2:$V$201,$B7)</f>
        <v>1450822.754964192</v>
      </c>
      <c r="F7" s="26">
        <f ca="1">IFERROR(SUMIFS(Inputs!$H$2:$H$201,Inputs!$A$2:$A$201,$A7,Inputs!$B$2:$B$201,$B7)/SUMIFS(Inputs!$C$2:$C$201,Inputs!$A$2:$A$201,$A7,Inputs!$B$2:$B$201,$B7),0)</f>
        <v>0.0017624875616015744</v>
      </c>
      <c r="G7" s="27">
        <f ca="1">D7*SUMIFS(Inputs!$R$2:$R$23,Inputs!$P$2:$P$23,$B7)/SUMIFS(Inputs!$Q$2:$Q$23,Inputs!$P$2:$P$23,$B7)</f>
        <v>0.0014060577228246726</v>
      </c>
      <c r="H7" s="27">
        <f ca="1">MAX(G7,$H$1)</f>
        <v>0.0014060577228246726</v>
      </c>
      <c r="I7" s="27">
        <f ca="1">MIN(G7,$I$1)</f>
        <v>0.0014060577228246726</v>
      </c>
      <c r="J7" s="28"/>
      <c r="K7" s="25"/>
      <c r="L7" s="25"/>
      <c r="M7" s="29"/>
    </row>
    <row r="8" spans="1:13" x14ac:dyDescent="0.3">
      <c r="A8" s="24">
        <v>2021</v>
      </c>
      <c r="B8" s="24" cm="1" t="str">
        <f t="array" aca="1" ref="B8" ca="1">INDIRECT("'Params'!A" &amp; (QUOTIENT(ROW(A8)-4, 10) + 1))</f>
        <v>ENUPS</v>
      </c>
      <c r="C8" s="25">
        <f ca="1">SUMIFS(Inputs!$F$2:$F$201,Inputs!$A$2:$A$201,$A8,Inputs!$B$2:$B$201,$B8)+SUMIFS(Inputs!$D$2:$D$201,Inputs!$A$2:$A$201,$A8,Inputs!$B$2:$B$201,$B8)+SUMIFS(Inputs!$G$2:$G$201,Inputs!$A$2:$A$201,$A8,Inputs!$B$2:$B$201,$B8)*+SUMIFS(Inputs!$X$2:$X$201,Inputs!$W$2:$W$201,$A8,Inputs!$V$2:$V$201,$B8)</f>
        <v>1080142.1663246062</v>
      </c>
      <c r="D8" s="26">
        <f ca="1">IFERROR(SUMIFS(Inputs!$G$2:$G$201,Inputs!$A$2:$A$201,$A8,Inputs!$B$2:$B$201,$B8)/SUMIFS(Inputs!$C$2:$C$201,Inputs!$A$2:$A$201,$A8,Inputs!$B$2:$B$201,$B8),0)</f>
        <v>0.0021755608643813833</v>
      </c>
      <c r="E8" s="25">
        <f ca="1">SUMIFS(Inputs!$F$2:$F$201,Inputs!$A$2:$A$201,$A8,Inputs!$B$2:$B$201,$B8)+SUMIFS(Inputs!$D$2:$D$201,Inputs!$A$2:$A$201,$A8,Inputs!$B$2:$B$201,$B8)+SUMIFS(Inputs!$H$2:$H$201,Inputs!$A$2:$A$201,$A8,Inputs!$B$2:$B$201,$B8)*+SUMIFS(Inputs!$X$2:$X$201,Inputs!$W$2:$W$201,$A8,Inputs!$V$2:$V$201,$B8)</f>
        <v>1094178.8327823714</v>
      </c>
      <c r="F8" s="26">
        <f ca="1">IFERROR(SUMIFS(Inputs!$H$2:$H$201,Inputs!$A$2:$A$201,$A8,Inputs!$B$2:$B$201,$B8)/SUMIFS(Inputs!$C$2:$C$201,Inputs!$A$2:$A$201,$A8,Inputs!$B$2:$B$201,$B8),0)</f>
        <v>0.0026307367628159504</v>
      </c>
      <c r="G8" s="27">
        <f ca="1">D8*SUMIFS(Inputs!$R$2:$R$23,Inputs!$P$2:$P$23,$B8)/SUMIFS(Inputs!$Q$2:$Q$23,Inputs!$P$2:$P$23,$B8)</f>
        <v>0.0020987199130726862</v>
      </c>
      <c r="H8" s="27">
        <f ca="1">MAX(G8,$H$1)</f>
        <v>0.0020987199130726862</v>
      </c>
      <c r="I8" s="27">
        <f ca="1">MIN(G8,$I$1)</f>
        <v>0.0020987199130726862</v>
      </c>
      <c r="J8" s="28"/>
      <c r="K8" s="25"/>
      <c r="L8" s="25"/>
      <c r="M8" s="29"/>
    </row>
    <row r="9" spans="1:13" x14ac:dyDescent="0.3">
      <c r="A9" s="24">
        <v>2022</v>
      </c>
      <c r="B9" s="24" cm="1" t="str">
        <f t="array" aca="1" ref="B9" ca="1">INDIRECT("'Params'!A" &amp; (QUOTIENT(ROW(A9)-4, 10) + 1))</f>
        <v>ENUPS</v>
      </c>
      <c r="C9" s="25">
        <f ca="1">SUMIFS(Inputs!$F$2:$F$201,Inputs!$A$2:$A$201,$A9,Inputs!$B$2:$B$201,$B9)+SUMIFS(Inputs!$D$2:$D$201,Inputs!$A$2:$A$201,$A9,Inputs!$B$2:$B$201,$B9)+SUMIFS(Inputs!$G$2:$G$201,Inputs!$A$2:$A$201,$A9,Inputs!$B$2:$B$201,$B9)*+SUMIFS(Inputs!$X$2:$X$201,Inputs!$W$2:$W$201,$A9,Inputs!$V$2:$V$201,$B9)</f>
        <v>4426879.899861044</v>
      </c>
      <c r="D9" s="26">
        <f ca="1">IFERROR(SUMIFS(Inputs!$G$2:$G$201,Inputs!$A$2:$A$201,$A9,Inputs!$B$2:$B$201,$B9)/SUMIFS(Inputs!$C$2:$C$201,Inputs!$A$2:$A$201,$A9,Inputs!$B$2:$B$201,$B9),0)</f>
        <v>0.15781531988655342</v>
      </c>
      <c r="E9" s="25">
        <f ca="1">SUMIFS(Inputs!$F$2:$F$201,Inputs!$A$2:$A$201,$A9,Inputs!$B$2:$B$201,$B9)+SUMIFS(Inputs!$D$2:$D$201,Inputs!$A$2:$A$201,$A9,Inputs!$B$2:$B$201,$B9)+SUMIFS(Inputs!$H$2:$H$201,Inputs!$A$2:$A$201,$A9,Inputs!$B$2:$B$201,$B9)*+SUMIFS(Inputs!$X$2:$X$201,Inputs!$W$2:$W$201,$A9,Inputs!$V$2:$V$201,$B9)</f>
        <v>5236681.767113059</v>
      </c>
      <c r="F9" s="26">
        <f ca="1">IFERROR(SUMIFS(Inputs!$H$2:$H$201,Inputs!$A$2:$A$201,$A9,Inputs!$B$2:$B$201,$B9)/SUMIFS(Inputs!$C$2:$C$201,Inputs!$A$2:$A$201,$A9,Inputs!$B$2:$B$201,$B9),0)</f>
        <v>0.19083380775888714</v>
      </c>
      <c r="G9" s="27">
        <f ca="1">D9*SUMIFS(Inputs!$R$2:$R$23,Inputs!$P$2:$P$23,$B9)/SUMIFS(Inputs!$Q$2:$Q$23,Inputs!$P$2:$P$23,$B9)</f>
        <v>0.1522412725180293</v>
      </c>
      <c r="H9" s="27">
        <f ca="1">MAX(G9,$H$1)</f>
        <v>0.1522412725180293</v>
      </c>
      <c r="I9" s="27">
        <f ca="1">MIN(G9,$I$1)</f>
        <v>0.1522412725180293</v>
      </c>
      <c r="J9" s="28"/>
      <c r="K9" s="25"/>
      <c r="L9" s="25"/>
      <c r="M9" s="29"/>
    </row>
    <row r="10" spans="1:13" x14ac:dyDescent="0.3">
      <c r="A10" s="24">
        <v>2023</v>
      </c>
      <c r="B10" s="24" cm="1" t="str">
        <f t="array" aca="1" ref="B10" ca="1">INDIRECT("'Params'!A" &amp; (QUOTIENT(ROW(A10)-4, 10) + 1))</f>
        <v>ENUPS</v>
      </c>
      <c r="C10" s="25">
        <f ca="1">SUMIFS(Inputs!$F$2:$F$201,Inputs!$A$2:$A$201,$A10,Inputs!$B$2:$B$201,$B10)+SUMIFS(Inputs!$D$2:$D$201,Inputs!$A$2:$A$201,$A10,Inputs!$B$2:$B$201,$B10)+SUMIFS(Inputs!$G$2:$G$201,Inputs!$A$2:$A$201,$A10,Inputs!$B$2:$B$201,$B10)*+SUMIFS(Inputs!$X$2:$X$201,Inputs!$W$2:$W$201,$A10,Inputs!$V$2:$V$201,$B10)</f>
        <v>8187757.467123266</v>
      </c>
      <c r="D10" s="26">
        <f ca="1">IFERROR(SUMIFS(Inputs!$G$2:$G$201,Inputs!$A$2:$A$201,$A10,Inputs!$B$2:$B$201,$B10)/SUMIFS(Inputs!$C$2:$C$201,Inputs!$A$2:$A$201,$A10,Inputs!$B$2:$B$201,$B10),0)</f>
        <v>0.11921031828496474</v>
      </c>
      <c r="E10" s="25">
        <f ca="1">SUMIFS(Inputs!$F$2:$F$201,Inputs!$A$2:$A$201,$A10,Inputs!$B$2:$B$201,$B10)+SUMIFS(Inputs!$D$2:$D$201,Inputs!$A$2:$A$201,$A10,Inputs!$B$2:$B$201,$B10)+SUMIFS(Inputs!$H$2:$H$201,Inputs!$A$2:$A$201,$A10,Inputs!$B$2:$B$201,$B10)*+SUMIFS(Inputs!$X$2:$X$201,Inputs!$W$2:$W$201,$A10,Inputs!$V$2:$V$201,$B10)</f>
        <v>8753423.080371799</v>
      </c>
      <c r="F10" s="26">
        <f ca="1">IFERROR(SUMIFS(Inputs!$H$2:$H$201,Inputs!$A$2:$A$201,$A10,Inputs!$B$2:$B$201,$B10)/SUMIFS(Inputs!$C$2:$C$201,Inputs!$A$2:$A$201,$A10,Inputs!$B$2:$B$201,$B10),0)</f>
        <v>0.14415177803284396</v>
      </c>
      <c r="G10" s="27">
        <f ca="1">D10*SUMIFS(Inputs!$R$2:$R$23,Inputs!$P$2:$P$23,$B10)/SUMIFS(Inputs!$Q$2:$Q$23,Inputs!$P$2:$P$23,$B10)</f>
        <v>0.11499980208530239</v>
      </c>
      <c r="H10" s="27">
        <f ca="1">MAX(G10,$H$1)</f>
        <v>0.11499980208530239</v>
      </c>
      <c r="I10" s="27">
        <f ca="1">MIN(G10,$I$1)</f>
        <v>0.11499980208530239</v>
      </c>
      <c r="J10" s="28"/>
      <c r="K10" s="25"/>
      <c r="L10" s="25"/>
      <c r="M10" s="29"/>
    </row>
    <row r="11" spans="1:13" x14ac:dyDescent="0.3">
      <c r="A11" s="24">
        <v>2024</v>
      </c>
      <c r="B11" s="24" cm="1" t="str">
        <f t="array" aca="1" ref="B11" ca="1">INDIRECT("'Params'!A" &amp; (QUOTIENT(ROW(A11)-4, 10) + 1))</f>
        <v>ENUPS</v>
      </c>
      <c r="C11" s="25">
        <f ca="1">SUMIFS(Inputs!$F$2:$F$201,Inputs!$A$2:$A$201,$A11,Inputs!$B$2:$B$201,$B11)+SUMIFS(Inputs!$D$2:$D$201,Inputs!$A$2:$A$201,$A11,Inputs!$B$2:$B$201,$B11)+SUMIFS(Inputs!$G$2:$G$201,Inputs!$A$2:$A$201,$A11,Inputs!$B$2:$B$201,$B11)*+SUMIFS(Inputs!$X$2:$X$201,Inputs!$W$2:$W$201,$A11,Inputs!$V$2:$V$201,$B11)</f>
        <v>10740221.63251652</v>
      </c>
      <c r="D11" s="26">
        <f ca="1">IFERROR(SUMIFS(Inputs!$G$2:$G$201,Inputs!$A$2:$A$201,$A11,Inputs!$B$2:$B$201,$B11)/SUMIFS(Inputs!$C$2:$C$201,Inputs!$A$2:$A$201,$A11,Inputs!$B$2:$B$201,$B11),0)</f>
        <v>0.2806911914968215</v>
      </c>
      <c r="E11" s="25">
        <f ca="1">SUMIFS(Inputs!$F$2:$F$201,Inputs!$A$2:$A$201,$A11,Inputs!$B$2:$B$201,$B11)+SUMIFS(Inputs!$D$2:$D$201,Inputs!$A$2:$A$201,$A11,Inputs!$B$2:$B$201,$B11)+SUMIFS(Inputs!$H$2:$H$201,Inputs!$A$2:$A$201,$A11,Inputs!$B$2:$B$201,$B11)*+SUMIFS(Inputs!$X$2:$X$201,Inputs!$W$2:$W$201,$A11,Inputs!$V$2:$V$201,$B11)</f>
        <v>12634310.097282998</v>
      </c>
      <c r="F11" s="26">
        <f ca="1">IFERROR(SUMIFS(Inputs!$H$2:$H$201,Inputs!$A$2:$A$201,$A11,Inputs!$B$2:$B$201,$B11)/SUMIFS(Inputs!$C$2:$C$201,Inputs!$A$2:$A$201,$A11,Inputs!$B$2:$B$201,$B11),0)</f>
        <v>0.3407129226726888</v>
      </c>
      <c r="G11" s="27">
        <f ca="1">D11*SUMIFS(Inputs!$R$2:$R$23,Inputs!$P$2:$P$23,$B11)/SUMIFS(Inputs!$Q$2:$Q$23,Inputs!$P$2:$P$23,$B11)</f>
        <v>0.27077716034664245</v>
      </c>
      <c r="H11" s="27">
        <f ca="1">MAX(G11,$H$1)</f>
        <v>0.27077716034664245</v>
      </c>
      <c r="I11" s="27">
        <f ca="1">MIN(G11,$I$1)</f>
        <v>0.27077716034664245</v>
      </c>
      <c r="J11" s="28"/>
      <c r="K11" s="25"/>
      <c r="L11" s="25"/>
      <c r="M11" s="29"/>
    </row>
    <row r="12" spans="1:13" x14ac:dyDescent="0.3">
      <c r="A12" s="24">
        <v>2025</v>
      </c>
      <c r="B12" s="24" cm="1" t="str">
        <f t="array" aca="1" ref="B12" ca="1">INDIRECT("'Params'!A" &amp; (QUOTIENT(ROW(A12)-4, 10) + 1))</f>
        <v>ENUPS</v>
      </c>
      <c r="C12" s="25">
        <f ca="1">SUMIFS(Inputs!$F$2:$F$201,Inputs!$A$2:$A$201,$A12,Inputs!$B$2:$B$201,$B12)+SUMIFS(Inputs!$D$2:$D$201,Inputs!$A$2:$A$201,$A12,Inputs!$B$2:$B$201,$B12)+SUMIFS(Inputs!$G$2:$G$201,Inputs!$A$2:$A$201,$A12,Inputs!$B$2:$B$201,$B12)*+SUMIFS(Inputs!$X$2:$X$201,Inputs!$W$2:$W$201,$A12,Inputs!$V$2:$V$201,$B12)</f>
        <v>46417139.745634</v>
      </c>
      <c r="D12" s="26">
        <f ca="1">IFERROR(SUMIFS(Inputs!$G$2:$G$201,Inputs!$A$2:$A$201,$A12,Inputs!$B$2:$B$201,$B12)/SUMIFS(Inputs!$C$2:$C$201,Inputs!$A$2:$A$201,$A12,Inputs!$B$2:$B$201,$B12),0)</f>
        <v>0.487419611037224</v>
      </c>
      <c r="E12" s="25">
        <f ca="1">SUMIFS(Inputs!$F$2:$F$201,Inputs!$A$2:$A$201,$A12,Inputs!$B$2:$B$201,$B12)+SUMIFS(Inputs!$D$2:$D$201,Inputs!$A$2:$A$201,$A12,Inputs!$B$2:$B$201,$B12)+SUMIFS(Inputs!$H$2:$H$201,Inputs!$A$2:$A$201,$A12,Inputs!$B$2:$B$201,$B12)*+SUMIFS(Inputs!$X$2:$X$201,Inputs!$W$2:$W$201,$A12,Inputs!$V$2:$V$201,$B12)</f>
        <v>48783717.6805405</v>
      </c>
      <c r="F12" s="26">
        <f ca="1">IFERROR(SUMIFS(Inputs!$H$2:$H$201,Inputs!$A$2:$A$201,$A12,Inputs!$B$2:$B$201,$B12)/SUMIFS(Inputs!$C$2:$C$201,Inputs!$A$2:$A$201,$A12,Inputs!$B$2:$B$201,$B12),0)</f>
        <v>0.598253939242516</v>
      </c>
      <c r="G12" s="27">
        <f ca="1">D12*SUMIFS(Inputs!$R$2:$R$23,Inputs!$P$2:$P$23,$B12)/SUMIFS(Inputs!$Q$2:$Q$23,Inputs!$P$2:$P$23,$B12)</f>
        <v>0.470203918655634</v>
      </c>
      <c r="H12" s="27">
        <f ca="1">MAX(G12,$H$1)</f>
        <v>0.470203918655634</v>
      </c>
      <c r="I12" s="27">
        <f ca="1">MIN(G12,$I$1)</f>
        <v>0.470203918655634</v>
      </c>
      <c r="K12" s="30"/>
      <c r="L12" s="30"/>
      <c r="M12" s="30"/>
    </row>
    <row r="13" spans="1:13" x14ac:dyDescent="0.3">
      <c r="A13" s="24">
        <v>2026</v>
      </c>
      <c r="B13" s="24" cm="1" t="str">
        <f t="array" aca="1" ref="B13" ca="1">INDIRECT("'Params'!A" &amp; (QUOTIENT(ROW(A13)-4, 10) + 1))</f>
        <v>ENUPS</v>
      </c>
      <c r="C13" s="25">
        <f ca="1">SUMIFS(Inputs!$F$2:$F$201,Inputs!$A$2:$A$201,$A13,Inputs!$B$2:$B$201,$B13)+SUMIFS(Inputs!$D$2:$D$201,Inputs!$A$2:$A$201,$A13,Inputs!$B$2:$B$201,$B13)+SUMIFS(Inputs!$G$2:$G$201,Inputs!$A$2:$A$201,$A13,Inputs!$B$2:$B$201,$B13)*+SUMIFS(Inputs!$X$2:$X$201,Inputs!$W$2:$W$201,$A13,Inputs!$V$2:$V$201,$B13)</f>
        <v>1599722.46754284</v>
      </c>
      <c r="D13" s="26">
        <f ca="1">IFERROR(SUMIFS(Inputs!$G$2:$G$201,Inputs!$A$2:$A$201,$A13,Inputs!$B$2:$B$201,$B13)/SUMIFS(Inputs!$C$2:$C$201,Inputs!$A$2:$A$201,$A13,Inputs!$B$2:$B$201,$B13),0)</f>
        <v>0.54999995315392</v>
      </c>
      <c r="E13" s="25">
        <f ca="1">SUMIFS(Inputs!$F$2:$F$201,Inputs!$A$2:$A$201,$A13,Inputs!$B$2:$B$201,$B13)+SUMIFS(Inputs!$D$2:$D$201,Inputs!$A$2:$A$201,$A13,Inputs!$B$2:$B$201,$B13)+SUMIFS(Inputs!$H$2:$H$201,Inputs!$A$2:$A$201,$A13,Inputs!$B$2:$B$201,$B13)*+SUMIFS(Inputs!$X$2:$X$201,Inputs!$W$2:$W$201,$A13,Inputs!$V$2:$V$201,$B13)</f>
        <v>1985801.89954224</v>
      </c>
      <c r="F13" s="26">
        <f ca="1">IFERROR(SUMIFS(Inputs!$H$2:$H$201,Inputs!$A$2:$A$201,$A13,Inputs!$B$2:$B$201,$B13)/SUMIFS(Inputs!$C$2:$C$201,Inputs!$A$2:$A$201,$A13,Inputs!$B$2:$B$201,$B13),0)</f>
        <v>0.68273785398332</v>
      </c>
      <c r="G13" s="27">
        <f ca="1">D13*SUMIFS(Inputs!$R$2:$R$23,Inputs!$P$2:$P$23,$B13)/SUMIFS(Inputs!$Q$2:$Q$23,Inputs!$P$2:$P$23,$B13)</f>
        <v>0.530573919016234</v>
      </c>
      <c r="H13" s="27">
        <f ca="1">MAX(G13,$H$1)</f>
        <v>0.530573919016234</v>
      </c>
      <c r="I13" s="27">
        <f ca="1">MIN(G13,$I$1)</f>
        <v>0.530573919016234</v>
      </c>
    </row>
    <row r="14" spans="1:13" x14ac:dyDescent="0.3">
      <c r="A14" s="24">
        <v>2017</v>
      </c>
      <c r="B14" s="24" cm="1" t="str">
        <f t="array" aca="1" ref="B14" ca="1">INDIRECT("'Params'!A" &amp; (QUOTIENT(ROW(A14)-4, 10) + 1))</f>
        <v>ENDWM</v>
      </c>
      <c r="C14" s="25">
        <f ca="1">SUMIFS(Inputs!$F$2:$F$201,Inputs!$A$2:$A$201,$A14,Inputs!$B$2:$B$201,$B14)+SUMIFS(Inputs!$D$2:$D$201,Inputs!$A$2:$A$201,$A14,Inputs!$B$2:$B$201,$B14)+SUMIFS(Inputs!$G$2:$G$201,Inputs!$A$2:$A$201,$A14,Inputs!$B$2:$B$201,$B14)*+SUMIFS(Inputs!$X$2:$X$201,Inputs!$W$2:$W$201,$A14,Inputs!$V$2:$V$201,$B14)</f>
        <v>78439.56227750028</v>
      </c>
      <c r="D14" s="26">
        <f ca="1">IFERROR(SUMIFS(Inputs!$G$2:$G$201,Inputs!$A$2:$A$201,$A14,Inputs!$B$2:$B$201,$B14)/SUMIFS(Inputs!$C$2:$C$201,Inputs!$A$2:$A$201,$A14,Inputs!$B$2:$B$201,$B14),0)</f>
        <v>0.0</v>
      </c>
      <c r="E14" s="25">
        <f ca="1">SUMIFS(Inputs!$F$2:$F$201,Inputs!$A$2:$A$201,$A14,Inputs!$B$2:$B$201,$B14)+SUMIFS(Inputs!$D$2:$D$201,Inputs!$A$2:$A$201,$A14,Inputs!$B$2:$B$201,$B14)+SUMIFS(Inputs!$H$2:$H$201,Inputs!$A$2:$A$201,$A14,Inputs!$B$2:$B$201,$B14)*+SUMIFS(Inputs!$X$2:$X$201,Inputs!$W$2:$W$201,$A14,Inputs!$V$2:$V$201,$B14)</f>
        <v>78439.56227750028</v>
      </c>
      <c r="F14" s="26">
        <f ca="1">IFERROR(SUMIFS(Inputs!$H$2:$H$201,Inputs!$A$2:$A$201,$A14,Inputs!$B$2:$B$201,$B14)/SUMIFS(Inputs!$C$2:$C$201,Inputs!$A$2:$A$201,$A14,Inputs!$B$2:$B$201,$B14),0)</f>
        <v>0.0</v>
      </c>
      <c r="G14" s="27">
        <f ca="1">D14*SUMIFS(Inputs!$R$2:$R$23,Inputs!$P$2:$P$23,$B14)/SUMIFS(Inputs!$Q$2:$Q$23,Inputs!$P$2:$P$23,$B14)</f>
        <v>0.0</v>
      </c>
      <c r="H14" s="27">
        <f ca="1">MAX(G14,$H$1)</f>
        <v>0.0</v>
      </c>
      <c r="I14" s="27">
        <f ca="1">MIN(G14,$I$1)</f>
        <v>0.0</v>
      </c>
    </row>
    <row r="15" spans="1:13" x14ac:dyDescent="0.3">
      <c r="A15" s="24">
        <v>2018</v>
      </c>
      <c r="B15" s="24" cm="1" t="str">
        <f t="array" aca="1" ref="B15" ca="1">INDIRECT("'Params'!A" &amp; (QUOTIENT(ROW(A15)-4, 10) + 1))</f>
        <v>ENDWM</v>
      </c>
      <c r="C15" s="25">
        <f ca="1">SUMIFS(Inputs!$F$2:$F$201,Inputs!$A$2:$A$201,$A15,Inputs!$B$2:$B$201,$B15)+SUMIFS(Inputs!$D$2:$D$201,Inputs!$A$2:$A$201,$A15,Inputs!$B$2:$B$201,$B15)+SUMIFS(Inputs!$G$2:$G$201,Inputs!$A$2:$A$201,$A15,Inputs!$B$2:$B$201,$B15)*+SUMIFS(Inputs!$X$2:$X$201,Inputs!$W$2:$W$201,$A15,Inputs!$V$2:$V$201,$B15)</f>
        <v>6485.700249449721</v>
      </c>
      <c r="D15" s="26">
        <f ca="1">IFERROR(SUMIFS(Inputs!$G$2:$G$201,Inputs!$A$2:$A$201,$A15,Inputs!$B$2:$B$201,$B15)/SUMIFS(Inputs!$C$2:$C$201,Inputs!$A$2:$A$201,$A15,Inputs!$B$2:$B$201,$B15),0)</f>
        <v>0.0</v>
      </c>
      <c r="E15" s="25">
        <f ca="1">SUMIFS(Inputs!$F$2:$F$201,Inputs!$A$2:$A$201,$A15,Inputs!$B$2:$B$201,$B15)+SUMIFS(Inputs!$D$2:$D$201,Inputs!$A$2:$A$201,$A15,Inputs!$B$2:$B$201,$B15)+SUMIFS(Inputs!$H$2:$H$201,Inputs!$A$2:$A$201,$A15,Inputs!$B$2:$B$201,$B15)*+SUMIFS(Inputs!$X$2:$X$201,Inputs!$W$2:$W$201,$A15,Inputs!$V$2:$V$201,$B15)</f>
        <v>6485.700249449721</v>
      </c>
      <c r="F15" s="26">
        <f ca="1">IFERROR(SUMIFS(Inputs!$H$2:$H$201,Inputs!$A$2:$A$201,$A15,Inputs!$B$2:$B$201,$B15)/SUMIFS(Inputs!$C$2:$C$201,Inputs!$A$2:$A$201,$A15,Inputs!$B$2:$B$201,$B15),0)</f>
        <v>0.0</v>
      </c>
      <c r="G15" s="27">
        <f ca="1">D15*SUMIFS(Inputs!$R$2:$R$23,Inputs!$P$2:$P$23,$B15)/SUMIFS(Inputs!$Q$2:$Q$23,Inputs!$P$2:$P$23,$B15)</f>
        <v>0.0</v>
      </c>
      <c r="H15" s="27">
        <f ca="1">MAX(G15,$H$1)</f>
        <v>0.0</v>
      </c>
      <c r="I15" s="27">
        <f ca="1">MIN(G15,$I$1)</f>
        <v>0.0</v>
      </c>
    </row>
    <row r="16" spans="1:13" x14ac:dyDescent="0.3">
      <c r="A16" s="24">
        <v>2019</v>
      </c>
      <c r="B16" s="24" cm="1" t="str">
        <f t="array" aca="1" ref="B16" ca="1">INDIRECT("'Params'!A" &amp; (QUOTIENT(ROW(A16)-4, 10) + 1))</f>
        <v>ENDWM</v>
      </c>
      <c r="C16" s="25">
        <f ca="1">SUMIFS(Inputs!$F$2:$F$201,Inputs!$A$2:$A$201,$A16,Inputs!$B$2:$B$201,$B16)+SUMIFS(Inputs!$D$2:$D$201,Inputs!$A$2:$A$201,$A16,Inputs!$B$2:$B$201,$B16)+SUMIFS(Inputs!$G$2:$G$201,Inputs!$A$2:$A$201,$A16,Inputs!$B$2:$B$201,$B16)*+SUMIFS(Inputs!$X$2:$X$201,Inputs!$W$2:$W$201,$A16,Inputs!$V$2:$V$201,$B16)</f>
        <v>680707.673171048</v>
      </c>
      <c r="D16" s="26">
        <f ca="1">IFERROR(SUMIFS(Inputs!$G$2:$G$201,Inputs!$A$2:$A$201,$A16,Inputs!$B$2:$B$201,$B16)/SUMIFS(Inputs!$C$2:$C$201,Inputs!$A$2:$A$201,$A16,Inputs!$B$2:$B$201,$B16),0)</f>
        <v>0.0</v>
      </c>
      <c r="E16" s="25">
        <f ca="1">SUMIFS(Inputs!$F$2:$F$201,Inputs!$A$2:$A$201,$A16,Inputs!$B$2:$B$201,$B16)+SUMIFS(Inputs!$D$2:$D$201,Inputs!$A$2:$A$201,$A16,Inputs!$B$2:$B$201,$B16)+SUMIFS(Inputs!$H$2:$H$201,Inputs!$A$2:$A$201,$A16,Inputs!$B$2:$B$201,$B16)*+SUMIFS(Inputs!$X$2:$X$201,Inputs!$W$2:$W$201,$A16,Inputs!$V$2:$V$201,$B16)</f>
        <v>680707.673171048</v>
      </c>
      <c r="F16" s="26">
        <f ca="1">IFERROR(SUMIFS(Inputs!$H$2:$H$201,Inputs!$A$2:$A$201,$A16,Inputs!$B$2:$B$201,$B16)/SUMIFS(Inputs!$C$2:$C$201,Inputs!$A$2:$A$201,$A16,Inputs!$B$2:$B$201,$B16),0)</f>
        <v>0.0</v>
      </c>
      <c r="G16" s="27">
        <f ca="1">D16*SUMIFS(Inputs!$R$2:$R$23,Inputs!$P$2:$P$23,$B16)/SUMIFS(Inputs!$Q$2:$Q$23,Inputs!$P$2:$P$23,$B16)</f>
        <v>0.0</v>
      </c>
      <c r="H16" s="27">
        <f ca="1">MAX(G16,$H$1)</f>
        <v>0.0</v>
      </c>
      <c r="I16" s="27">
        <f ca="1">MIN(G16,$I$1)</f>
        <v>0.0</v>
      </c>
    </row>
    <row r="17" spans="1:9" x14ac:dyDescent="0.3">
      <c r="A17" s="24">
        <v>2020</v>
      </c>
      <c r="B17" s="24" cm="1" t="str">
        <f t="array" aca="1" ref="B17" ca="1">INDIRECT("'Params'!A" &amp; (QUOTIENT(ROW(A17)-4, 10) + 1))</f>
        <v>ENDWM</v>
      </c>
      <c r="C17" s="25">
        <f ca="1">SUMIFS(Inputs!$F$2:$F$201,Inputs!$A$2:$A$201,$A17,Inputs!$B$2:$B$201,$B17)+SUMIFS(Inputs!$D$2:$D$201,Inputs!$A$2:$A$201,$A17,Inputs!$B$2:$B$201,$B17)+SUMIFS(Inputs!$G$2:$G$201,Inputs!$A$2:$A$201,$A17,Inputs!$B$2:$B$201,$B17)*+SUMIFS(Inputs!$X$2:$X$201,Inputs!$W$2:$W$201,$A17,Inputs!$V$2:$V$201,$B17)</f>
        <v>2461206.1232698695</v>
      </c>
      <c r="D17" s="26">
        <f ca="1">IFERROR(SUMIFS(Inputs!$G$2:$G$201,Inputs!$A$2:$A$201,$A17,Inputs!$B$2:$B$201,$B17)/SUMIFS(Inputs!$C$2:$C$201,Inputs!$A$2:$A$201,$A17,Inputs!$B$2:$B$201,$B17),0)</f>
        <v>0.002422764305216313</v>
      </c>
      <c r="E17" s="25">
        <f ca="1">SUMIFS(Inputs!$F$2:$F$201,Inputs!$A$2:$A$201,$A17,Inputs!$B$2:$B$201,$B17)+SUMIFS(Inputs!$D$2:$D$201,Inputs!$A$2:$A$201,$A17,Inputs!$B$2:$B$201,$B17)+SUMIFS(Inputs!$H$2:$H$201,Inputs!$A$2:$A$201,$A17,Inputs!$B$2:$B$201,$B17)*+SUMIFS(Inputs!$X$2:$X$201,Inputs!$W$2:$W$201,$A17,Inputs!$V$2:$V$201,$B17)</f>
        <v>2483396.4551656046</v>
      </c>
      <c r="F17" s="26">
        <f ca="1">IFERROR(SUMIFS(Inputs!$H$2:$H$201,Inputs!$A$2:$A$201,$A17,Inputs!$B$2:$B$201,$B17)/SUMIFS(Inputs!$C$2:$C$201,Inputs!$A$2:$A$201,$A17,Inputs!$B$2:$B$201,$B17),0)</f>
        <v>0.0029492827428984642</v>
      </c>
      <c r="G17" s="27">
        <f ca="1">D17*SUMIFS(Inputs!$R$2:$R$23,Inputs!$P$2:$P$23,$B17)/SUMIFS(Inputs!$Q$2:$Q$23,Inputs!$P$2:$P$23,$B17)</f>
        <v>0.002623017499838734</v>
      </c>
      <c r="H17" s="27">
        <f ca="1">MAX(G17,$H$1)</f>
        <v>0.002623017499838734</v>
      </c>
      <c r="I17" s="27">
        <f ca="1">MIN(G17,$I$1)</f>
        <v>0.002623017499838734</v>
      </c>
    </row>
    <row r="18" spans="1:9" x14ac:dyDescent="0.3">
      <c r="A18" s="24">
        <v>2021</v>
      </c>
      <c r="B18" s="24" cm="1" t="str">
        <f t="array" aca="1" ref="B18" ca="1">INDIRECT("'Params'!A" &amp; (QUOTIENT(ROW(A18)-4, 10) + 1))</f>
        <v>ENDWM</v>
      </c>
      <c r="C18" s="25">
        <f ca="1">SUMIFS(Inputs!$F$2:$F$201,Inputs!$A$2:$A$201,$A18,Inputs!$B$2:$B$201,$B18)+SUMIFS(Inputs!$D$2:$D$201,Inputs!$A$2:$A$201,$A18,Inputs!$B$2:$B$201,$B18)+SUMIFS(Inputs!$G$2:$G$201,Inputs!$A$2:$A$201,$A18,Inputs!$B$2:$B$201,$B18)*+SUMIFS(Inputs!$X$2:$X$201,Inputs!$W$2:$W$201,$A18,Inputs!$V$2:$V$201,$B18)</f>
        <v>744701.0388985943</v>
      </c>
      <c r="D18" s="26">
        <f ca="1">IFERROR(SUMIFS(Inputs!$G$2:$G$201,Inputs!$A$2:$A$201,$A18,Inputs!$B$2:$B$201,$B18)/SUMIFS(Inputs!$C$2:$C$201,Inputs!$A$2:$A$201,$A18,Inputs!$B$2:$B$201,$B18),0)</f>
        <v>0.01825499959202287</v>
      </c>
      <c r="E18" s="25">
        <f ca="1">SUMIFS(Inputs!$F$2:$F$201,Inputs!$A$2:$A$201,$A18,Inputs!$B$2:$B$201,$B18)+SUMIFS(Inputs!$D$2:$D$201,Inputs!$A$2:$A$201,$A18,Inputs!$B$2:$B$201,$B18)+SUMIFS(Inputs!$H$2:$H$201,Inputs!$A$2:$A$201,$A18,Inputs!$B$2:$B$201,$B18)*+SUMIFS(Inputs!$X$2:$X$201,Inputs!$W$2:$W$201,$A18,Inputs!$V$2:$V$201,$B18)</f>
        <v>879299.030674354</v>
      </c>
      <c r="F18" s="26">
        <f ca="1">IFERROR(SUMIFS(Inputs!$H$2:$H$201,Inputs!$A$2:$A$201,$A18,Inputs!$B$2:$B$201,$B18)/SUMIFS(Inputs!$C$2:$C$201,Inputs!$A$2:$A$201,$A18,Inputs!$B$2:$B$201,$B18),0)</f>
        <v>0.02222220095964498</v>
      </c>
      <c r="G18" s="27">
        <f ca="1">D18*SUMIFS(Inputs!$R$2:$R$23,Inputs!$P$2:$P$23,$B18)/SUMIFS(Inputs!$Q$2:$Q$23,Inputs!$P$2:$P$23,$B18)</f>
        <v>0.019763863652081395</v>
      </c>
      <c r="H18" s="27">
        <f ca="1">MAX(G18,$H$1)</f>
        <v>0.019763863652081395</v>
      </c>
      <c r="I18" s="27">
        <f ca="1">MIN(G18,$I$1)</f>
        <v>0.019763863652081395</v>
      </c>
    </row>
    <row r="19" spans="1:9" x14ac:dyDescent="0.3">
      <c r="A19" s="24">
        <v>2022</v>
      </c>
      <c r="B19" s="24" cm="1" t="str">
        <f t="array" aca="1" ref="B19" ca="1">INDIRECT("'Params'!A" &amp; (QUOTIENT(ROW(A19)-4, 10) + 1))</f>
        <v>ENDWM</v>
      </c>
      <c r="C19" s="25">
        <f ca="1">SUMIFS(Inputs!$F$2:$F$201,Inputs!$A$2:$A$201,$A19,Inputs!$B$2:$B$201,$B19)+SUMIFS(Inputs!$D$2:$D$201,Inputs!$A$2:$A$201,$A19,Inputs!$B$2:$B$201,$B19)+SUMIFS(Inputs!$G$2:$G$201,Inputs!$A$2:$A$201,$A19,Inputs!$B$2:$B$201,$B19)*+SUMIFS(Inputs!$X$2:$X$201,Inputs!$W$2:$W$201,$A19,Inputs!$V$2:$V$201,$B19)</f>
        <v>2733236.7069970295</v>
      </c>
      <c r="D19" s="26">
        <f ca="1">IFERROR(SUMIFS(Inputs!$G$2:$G$201,Inputs!$A$2:$A$201,$A19,Inputs!$B$2:$B$201,$B19)/SUMIFS(Inputs!$C$2:$C$201,Inputs!$A$2:$A$201,$A19,Inputs!$B$2:$B$201,$B19),0)</f>
        <v>0.07341782064768484</v>
      </c>
      <c r="E19" s="25">
        <f ca="1">SUMIFS(Inputs!$F$2:$F$201,Inputs!$A$2:$A$201,$A19,Inputs!$B$2:$B$201,$B19)+SUMIFS(Inputs!$D$2:$D$201,Inputs!$A$2:$A$201,$A19,Inputs!$B$2:$B$201,$B19)+SUMIFS(Inputs!$H$2:$H$201,Inputs!$A$2:$A$201,$A19,Inputs!$B$2:$B$201,$B19)*+SUMIFS(Inputs!$X$2:$X$201,Inputs!$W$2:$W$201,$A19,Inputs!$V$2:$V$201,$B19)</f>
        <v>3300122.854049442</v>
      </c>
      <c r="F19" s="26">
        <f ca="1">IFERROR(SUMIFS(Inputs!$H$2:$H$201,Inputs!$A$2:$A$201,$A19,Inputs!$B$2:$B$201,$B19)/SUMIFS(Inputs!$C$2:$C$201,Inputs!$A$2:$A$201,$A19,Inputs!$B$2:$B$201,$B19),0)</f>
        <v>0.08937308139765537</v>
      </c>
      <c r="G19" s="27">
        <f ca="1">D19*SUMIFS(Inputs!$R$2:$R$23,Inputs!$P$2:$P$23,$B19)/SUMIFS(Inputs!$Q$2:$Q$23,Inputs!$P$2:$P$23,$B19)</f>
        <v>0.0794861588245601</v>
      </c>
      <c r="H19" s="27">
        <f ca="1">MAX(G19,$H$1)</f>
        <v>0.0794861588245601</v>
      </c>
      <c r="I19" s="27">
        <f ca="1">MIN(G19,$I$1)</f>
        <v>0.0794861588245601</v>
      </c>
    </row>
    <row r="20" spans="1:9" x14ac:dyDescent="0.3">
      <c r="A20" s="24">
        <v>2023</v>
      </c>
      <c r="B20" s="24" cm="1" t="str">
        <f t="array" aca="1" ref="B20" ca="1">INDIRECT("'Params'!A" &amp; (QUOTIENT(ROW(A20)-4, 10) + 1))</f>
        <v>ENDWM</v>
      </c>
      <c r="C20" s="25">
        <f ca="1">SUMIFS(Inputs!$F$2:$F$201,Inputs!$A$2:$A$201,$A20,Inputs!$B$2:$B$201,$B20)+SUMIFS(Inputs!$D$2:$D$201,Inputs!$A$2:$A$201,$A20,Inputs!$B$2:$B$201,$B20)+SUMIFS(Inputs!$G$2:$G$201,Inputs!$A$2:$A$201,$A20,Inputs!$B$2:$B$201,$B20)*+SUMIFS(Inputs!$X$2:$X$201,Inputs!$W$2:$W$201,$A20,Inputs!$V$2:$V$201,$B20)</f>
        <v>5562436.837738392</v>
      </c>
      <c r="D20" s="26">
        <f ca="1">IFERROR(SUMIFS(Inputs!$G$2:$G$201,Inputs!$A$2:$A$201,$A20,Inputs!$B$2:$B$201,$B20)/SUMIFS(Inputs!$C$2:$C$201,Inputs!$A$2:$A$201,$A20,Inputs!$B$2:$B$201,$B20),0)</f>
        <v>0.10327151496894994</v>
      </c>
      <c r="E20" s="25">
        <f ca="1">SUMIFS(Inputs!$F$2:$F$201,Inputs!$A$2:$A$201,$A20,Inputs!$B$2:$B$201,$B20)+SUMIFS(Inputs!$D$2:$D$201,Inputs!$A$2:$A$201,$A20,Inputs!$B$2:$B$201,$B20)+SUMIFS(Inputs!$H$2:$H$201,Inputs!$A$2:$A$201,$A20,Inputs!$B$2:$B$201,$B20)*+SUMIFS(Inputs!$X$2:$X$201,Inputs!$W$2:$W$201,$A20,Inputs!$V$2:$V$201,$B20)</f>
        <v>6574743.963263184</v>
      </c>
      <c r="F20" s="26">
        <f ca="1">IFERROR(SUMIFS(Inputs!$H$2:$H$201,Inputs!$A$2:$A$201,$A20,Inputs!$B$2:$B$201,$B20)/SUMIFS(Inputs!$C$2:$C$201,Inputs!$A$2:$A$201,$A20,Inputs!$B$2:$B$201,$B20),0)</f>
        <v>0.12637943651305078</v>
      </c>
      <c r="G20" s="27">
        <f ca="1">D20*SUMIFS(Inputs!$R$2:$R$23,Inputs!$P$2:$P$23,$B20)/SUMIFS(Inputs!$Q$2:$Q$23,Inputs!$P$2:$P$23,$B20)</f>
        <v>0.1118074054563174</v>
      </c>
      <c r="H20" s="27">
        <f ca="1">MAX(G20,$H$1)</f>
        <v>0.1118074054563174</v>
      </c>
      <c r="I20" s="27">
        <f ca="1">MIN(G20,$I$1)</f>
        <v>0.1118074054563174</v>
      </c>
    </row>
    <row r="21" spans="1:9" x14ac:dyDescent="0.3">
      <c r="A21" s="24">
        <v>2024</v>
      </c>
      <c r="B21" s="24" cm="1" t="str">
        <f t="array" aca="1" ref="B21" ca="1">INDIRECT("'Params'!A" &amp; (QUOTIENT(ROW(A21)-4, 10) + 1))</f>
        <v>ENDWM</v>
      </c>
      <c r="C21" s="25">
        <f ca="1">SUMIFS(Inputs!$F$2:$F$201,Inputs!$A$2:$A$201,$A21,Inputs!$B$2:$B$201,$B21)+SUMIFS(Inputs!$D$2:$D$201,Inputs!$A$2:$A$201,$A21,Inputs!$B$2:$B$201,$B21)+SUMIFS(Inputs!$G$2:$G$201,Inputs!$A$2:$A$201,$A21,Inputs!$B$2:$B$201,$B21)*+SUMIFS(Inputs!$X$2:$X$201,Inputs!$W$2:$W$201,$A21,Inputs!$V$2:$V$201,$B21)</f>
        <v>19073379.19165571</v>
      </c>
      <c r="D21" s="26">
        <f ca="1">IFERROR(SUMIFS(Inputs!$G$2:$G$201,Inputs!$A$2:$A$201,$A21,Inputs!$B$2:$B$201,$B21)/SUMIFS(Inputs!$C$2:$C$201,Inputs!$A$2:$A$201,$A21,Inputs!$B$2:$B$201,$B21),0)</f>
        <v>0.13676020788646595</v>
      </c>
      <c r="E21" s="25">
        <f ca="1">SUMIFS(Inputs!$F$2:$F$201,Inputs!$A$2:$A$201,$A21,Inputs!$B$2:$B$201,$B21)+SUMIFS(Inputs!$D$2:$D$201,Inputs!$A$2:$A$201,$A21,Inputs!$B$2:$B$201,$B21)+SUMIFS(Inputs!$H$2:$H$201,Inputs!$A$2:$A$201,$A21,Inputs!$B$2:$B$201,$B21)*+SUMIFS(Inputs!$X$2:$X$201,Inputs!$W$2:$W$201,$A21,Inputs!$V$2:$V$201,$B21)</f>
        <v>20142429.46111627</v>
      </c>
      <c r="F21" s="26">
        <f ca="1">IFERROR(SUMIFS(Inputs!$H$2:$H$201,Inputs!$A$2:$A$201,$A21,Inputs!$B$2:$B$201,$B21)/SUMIFS(Inputs!$C$2:$C$201,Inputs!$A$2:$A$201,$A21,Inputs!$B$2:$B$201,$B21),0)</f>
        <v>0.1685121983128351</v>
      </c>
      <c r="G21" s="27">
        <f ca="1">D21*SUMIFS(Inputs!$R$2:$R$23,Inputs!$P$2:$P$23,$B21)/SUMIFS(Inputs!$Q$2:$Q$23,Inputs!$P$2:$P$23,$B21)</f>
        <v>0.14806410090962405</v>
      </c>
      <c r="H21" s="27">
        <f ca="1">MAX(G21,$H$1)</f>
        <v>0.14806410090962405</v>
      </c>
      <c r="I21" s="27">
        <f ca="1">MIN(G21,$I$1)</f>
        <v>0.14806410090962405</v>
      </c>
    </row>
    <row r="22" spans="1:9" x14ac:dyDescent="0.3">
      <c r="A22" s="24">
        <v>2025</v>
      </c>
      <c r="B22" s="24" cm="1" t="str">
        <f t="array" aca="1" ref="B22" ca="1">INDIRECT("'Params'!A" &amp; (QUOTIENT(ROW(A22)-4, 10) + 1))</f>
        <v>ENDWM</v>
      </c>
      <c r="C22" s="25">
        <f ca="1">SUMIFS(Inputs!$F$2:$F$201,Inputs!$A$2:$A$201,$A22,Inputs!$B$2:$B$201,$B22)+SUMIFS(Inputs!$D$2:$D$201,Inputs!$A$2:$A$201,$A22,Inputs!$B$2:$B$201,$B22)+SUMIFS(Inputs!$G$2:$G$201,Inputs!$A$2:$A$201,$A22,Inputs!$B$2:$B$201,$B22)*+SUMIFS(Inputs!$X$2:$X$201,Inputs!$W$2:$W$201,$A22,Inputs!$V$2:$V$201,$B22)</f>
        <v>75841831.29058209</v>
      </c>
      <c r="D22" s="26">
        <f ca="1">IFERROR(SUMIFS(Inputs!$G$2:$G$201,Inputs!$A$2:$A$201,$A22,Inputs!$B$2:$B$201,$B22)/SUMIFS(Inputs!$C$2:$C$201,Inputs!$A$2:$A$201,$A22,Inputs!$B$2:$B$201,$B22),0)</f>
        <v>0.550895897880416</v>
      </c>
      <c r="E22" s="25">
        <f ca="1">SUMIFS(Inputs!$F$2:$F$201,Inputs!$A$2:$A$201,$A22,Inputs!$B$2:$B$201,$B22)+SUMIFS(Inputs!$D$2:$D$201,Inputs!$A$2:$A$201,$A22,Inputs!$B$2:$B$201,$B22)+SUMIFS(Inputs!$H$2:$H$201,Inputs!$A$2:$A$201,$A22,Inputs!$B$2:$B$201,$B22)*+SUMIFS(Inputs!$X$2:$X$201,Inputs!$W$2:$W$201,$A22,Inputs!$V$2:$V$201,$B22)</f>
        <v>79951150.24805012</v>
      </c>
      <c r="F22" s="26">
        <f ca="1">IFERROR(SUMIFS(Inputs!$H$2:$H$201,Inputs!$A$2:$A$201,$A22,Inputs!$B$2:$B$201,$B22)/SUMIFS(Inputs!$C$2:$C$201,Inputs!$A$2:$A$201,$A22,Inputs!$B$2:$B$201,$B22),0)</f>
        <v>0.6796600651905005</v>
      </c>
      <c r="G22" s="27">
        <f ca="1">D22*SUMIFS(Inputs!$R$2:$R$23,Inputs!$P$2:$P$23,$B22)/SUMIFS(Inputs!$Q$2:$Q$23,Inputs!$P$2:$P$23,$B22)</f>
        <v>0.5964301098619197</v>
      </c>
      <c r="H22" s="27">
        <f ca="1">MAX(G22,$H$1)</f>
        <v>0.5964301098619197</v>
      </c>
      <c r="I22" s="27">
        <f ca="1">MIN(G22,$I$1)</f>
        <v>0.5964301098619197</v>
      </c>
    </row>
    <row r="23" spans="1:9" x14ac:dyDescent="0.3">
      <c r="A23" s="24">
        <v>2026</v>
      </c>
      <c r="B23" s="24" cm="1" t="str">
        <f t="array" aca="1" ref="B23" ca="1">INDIRECT("'Params'!A" &amp; (QUOTIENT(ROW(A23)-4, 10) + 1))</f>
        <v>ENDWM</v>
      </c>
      <c r="C23" s="25">
        <f ca="1">SUMIFS(Inputs!$F$2:$F$201,Inputs!$A$2:$A$201,$A23,Inputs!$B$2:$B$201,$B23)+SUMIFS(Inputs!$D$2:$D$201,Inputs!$A$2:$A$201,$A23,Inputs!$B$2:$B$201,$B23)+SUMIFS(Inputs!$G$2:$G$201,Inputs!$A$2:$A$201,$A23,Inputs!$B$2:$B$201,$B23)*+SUMIFS(Inputs!$X$2:$X$201,Inputs!$W$2:$W$201,$A23,Inputs!$V$2:$V$201,$B23)</f>
        <v>4316972.946505851</v>
      </c>
      <c r="D23" s="26">
        <f ca="1">IFERROR(SUMIFS(Inputs!$G$2:$G$201,Inputs!$A$2:$A$201,$A23,Inputs!$B$2:$B$201,$B23)/SUMIFS(Inputs!$C$2:$C$201,Inputs!$A$2:$A$201,$A23,Inputs!$B$2:$B$201,$B23),0)</f>
        <v>0.5481498103880881</v>
      </c>
      <c r="E23" s="25">
        <f ca="1">SUMIFS(Inputs!$F$2:$F$201,Inputs!$A$2:$A$201,$A23,Inputs!$B$2:$B$201,$B23)+SUMIFS(Inputs!$D$2:$D$201,Inputs!$A$2:$A$201,$A23,Inputs!$B$2:$B$201,$B23)+SUMIFS(Inputs!$H$2:$H$201,Inputs!$A$2:$A$201,$A23,Inputs!$B$2:$B$201,$B23)*+SUMIFS(Inputs!$X$2:$X$201,Inputs!$W$2:$W$201,$A23,Inputs!$V$2:$V$201,$B23)</f>
        <v>5388255.58079889</v>
      </c>
      <c r="F23" s="26">
        <f ca="1">IFERROR(SUMIFS(Inputs!$H$2:$H$201,Inputs!$A$2:$A$201,$A23,Inputs!$B$2:$B$201,$B23)/SUMIFS(Inputs!$C$2:$C$201,Inputs!$A$2:$A$201,$A23,Inputs!$B$2:$B$201,$B23),0)</f>
        <v>0.6841837135863734</v>
      </c>
      <c r="G23" s="27">
        <f ca="1">D23*SUMIFS(Inputs!$R$2:$R$23,Inputs!$P$2:$P$23,$B23)/SUMIFS(Inputs!$Q$2:$Q$23,Inputs!$P$2:$P$23,$B23)</f>
        <v>0.5934570449488549</v>
      </c>
      <c r="H23" s="27">
        <f ca="1">MAX(G23,$H$1)</f>
        <v>0.5934570449488549</v>
      </c>
      <c r="I23" s="27">
        <f ca="1">MIN(G23,$I$1)</f>
        <v>0.5934570449488549</v>
      </c>
    </row>
    <row r="24" spans="1:9" x14ac:dyDescent="0.3">
      <c r="A24" s="24">
        <v>2017</v>
      </c>
      <c r="B24" s="24" cm="1" t="str">
        <f t="array" aca="1" ref="B24" ca="1">INDIRECT("'Params'!A" &amp; (QUOTIENT(ROW(A24)-4, 10) + 1))</f>
        <v>ENCON</v>
      </c>
      <c r="C24" s="25">
        <f ca="1">SUMIFS(Inputs!$F$2:$F$201,Inputs!$A$2:$A$201,$A24,Inputs!$B$2:$B$201,$B24)+SUMIFS(Inputs!$D$2:$D$201,Inputs!$A$2:$A$201,$A24,Inputs!$B$2:$B$201,$B24)+SUMIFS(Inputs!$G$2:$G$201,Inputs!$A$2:$A$201,$A24,Inputs!$B$2:$B$201,$B24)*+SUMIFS(Inputs!$X$2:$X$201,Inputs!$W$2:$W$201,$A24,Inputs!$V$2:$V$201,$B24)</f>
        <v>0.005357191286748275</v>
      </c>
      <c r="D24" s="26">
        <f ca="1">IFERROR(SUMIFS(Inputs!$G$2:$G$201,Inputs!$A$2:$A$201,$A24,Inputs!$B$2:$B$201,$B24)/SUMIFS(Inputs!$C$2:$C$201,Inputs!$A$2:$A$201,$A24,Inputs!$B$2:$B$201,$B24),0)</f>
        <v>0.0</v>
      </c>
      <c r="E24" s="25">
        <f ca="1">SUMIFS(Inputs!$F$2:$F$201,Inputs!$A$2:$A$201,$A24,Inputs!$B$2:$B$201,$B24)+SUMIFS(Inputs!$D$2:$D$201,Inputs!$A$2:$A$201,$A24,Inputs!$B$2:$B$201,$B24)+SUMIFS(Inputs!$H$2:$H$201,Inputs!$A$2:$A$201,$A24,Inputs!$B$2:$B$201,$B24)*+SUMIFS(Inputs!$X$2:$X$201,Inputs!$W$2:$W$201,$A24,Inputs!$V$2:$V$201,$B24)</f>
        <v>0.005357191286748275</v>
      </c>
      <c r="F24" s="26">
        <f ca="1">IFERROR(SUMIFS(Inputs!$H$2:$H$201,Inputs!$A$2:$A$201,$A24,Inputs!$B$2:$B$201,$B24)/SUMIFS(Inputs!$C$2:$C$201,Inputs!$A$2:$A$201,$A24,Inputs!$B$2:$B$201,$B24),0)</f>
        <v>0.0</v>
      </c>
      <c r="G24" s="27">
        <f ca="1">D24*SUMIFS(Inputs!$R$2:$R$23,Inputs!$P$2:$P$23,$B24)/SUMIFS(Inputs!$Q$2:$Q$23,Inputs!$P$2:$P$23,$B24)</f>
        <v>0.0</v>
      </c>
      <c r="H24" s="27">
        <f ca="1">MAX(G24,$H$1)</f>
        <v>0.0</v>
      </c>
      <c r="I24" s="27">
        <f ca="1">MIN(G24,$I$1)</f>
        <v>0.0</v>
      </c>
    </row>
    <row r="25" spans="1:9" x14ac:dyDescent="0.3">
      <c r="A25" s="24">
        <v>2018</v>
      </c>
      <c r="B25" s="24" cm="1" t="str">
        <f t="array" aca="1" ref="B25" ca="1">INDIRECT("'Params'!A" &amp; (QUOTIENT(ROW(A25)-4, 10) + 1))</f>
        <v>ENCON</v>
      </c>
      <c r="C25" s="25">
        <f ca="1">SUMIFS(Inputs!$F$2:$F$201,Inputs!$A$2:$A$201,$A25,Inputs!$B$2:$B$201,$B25)+SUMIFS(Inputs!$D$2:$D$201,Inputs!$A$2:$A$201,$A25,Inputs!$B$2:$B$201,$B25)+SUMIFS(Inputs!$G$2:$G$201,Inputs!$A$2:$A$201,$A25,Inputs!$B$2:$B$201,$B25)*+SUMIFS(Inputs!$X$2:$X$201,Inputs!$W$2:$W$201,$A25,Inputs!$V$2:$V$201,$B25)</f>
        <v>5236.281095153028</v>
      </c>
      <c r="D25" s="26">
        <f ca="1">IFERROR(SUMIFS(Inputs!$G$2:$G$201,Inputs!$A$2:$A$201,$A25,Inputs!$B$2:$B$201,$B25)/SUMIFS(Inputs!$C$2:$C$201,Inputs!$A$2:$A$201,$A25,Inputs!$B$2:$B$201,$B25),0)</f>
        <v>0.003656645986868387</v>
      </c>
      <c r="E25" s="25">
        <f ca="1">SUMIFS(Inputs!$F$2:$F$201,Inputs!$A$2:$A$201,$A25,Inputs!$B$2:$B$201,$B25)+SUMIFS(Inputs!$D$2:$D$201,Inputs!$A$2:$A$201,$A25,Inputs!$B$2:$B$201,$B25)+SUMIFS(Inputs!$H$2:$H$201,Inputs!$A$2:$A$201,$A25,Inputs!$B$2:$B$201,$B25)*+SUMIFS(Inputs!$X$2:$X$201,Inputs!$W$2:$W$201,$A25,Inputs!$V$2:$V$201,$B25)</f>
        <v>6086.503667495468</v>
      </c>
      <c r="F25" s="26">
        <f ca="1">IFERROR(SUMIFS(Inputs!$H$2:$H$201,Inputs!$A$2:$A$201,$A25,Inputs!$B$2:$B$201,$B25)/SUMIFS(Inputs!$C$2:$C$201,Inputs!$A$2:$A$201,$A25,Inputs!$B$2:$B$201,$B25),0)</f>
        <v>0.004250381327953259</v>
      </c>
      <c r="G25" s="27">
        <f ca="1">D25*SUMIFS(Inputs!$R$2:$R$23,Inputs!$P$2:$P$23,$B25)/SUMIFS(Inputs!$Q$2:$Q$23,Inputs!$P$2:$P$23,$B25)</f>
        <v>0.0013683582904502108</v>
      </c>
      <c r="H25" s="27">
        <f ca="1">MAX(G25,$H$1)</f>
        <v>0.0013683582904502108</v>
      </c>
      <c r="I25" s="27">
        <f ca="1">MIN(G25,$I$1)</f>
        <v>0.0013683582904502108</v>
      </c>
    </row>
    <row r="26" spans="1:9" x14ac:dyDescent="0.3">
      <c r="A26" s="24">
        <v>2019</v>
      </c>
      <c r="B26" s="24" cm="1" t="str">
        <f t="array" aca="1" ref="B26" ca="1">INDIRECT("'Params'!A" &amp; (QUOTIENT(ROW(A26)-4, 10) + 1))</f>
        <v>ENCON</v>
      </c>
      <c r="C26" s="25">
        <f ca="1">SUMIFS(Inputs!$F$2:$F$201,Inputs!$A$2:$A$201,$A26,Inputs!$B$2:$B$201,$B26)+SUMIFS(Inputs!$D$2:$D$201,Inputs!$A$2:$A$201,$A26,Inputs!$B$2:$B$201,$B26)+SUMIFS(Inputs!$G$2:$G$201,Inputs!$A$2:$A$201,$A26,Inputs!$B$2:$B$201,$B26)*+SUMIFS(Inputs!$X$2:$X$201,Inputs!$W$2:$W$201,$A26,Inputs!$V$2:$V$201,$B26)</f>
        <v>66391.7814635551</v>
      </c>
      <c r="D26" s="26">
        <f ca="1">IFERROR(SUMIFS(Inputs!$G$2:$G$201,Inputs!$A$2:$A$201,$A26,Inputs!$B$2:$B$201,$B26)/SUMIFS(Inputs!$C$2:$C$201,Inputs!$A$2:$A$201,$A26,Inputs!$B$2:$B$201,$B26),0)</f>
        <v>0.040494250979203915</v>
      </c>
      <c r="E26" s="25">
        <f ca="1">SUMIFS(Inputs!$F$2:$F$201,Inputs!$A$2:$A$201,$A26,Inputs!$B$2:$B$201,$B26)+SUMIFS(Inputs!$D$2:$D$201,Inputs!$A$2:$A$201,$A26,Inputs!$B$2:$B$201,$B26)+SUMIFS(Inputs!$H$2:$H$201,Inputs!$A$2:$A$201,$A26,Inputs!$B$2:$B$201,$B26)*+SUMIFS(Inputs!$X$2:$X$201,Inputs!$W$2:$W$201,$A26,Inputs!$V$2:$V$201,$B26)</f>
        <v>77673.41622011756</v>
      </c>
      <c r="F26" s="26">
        <f ca="1">IFERROR(SUMIFS(Inputs!$H$2:$H$201,Inputs!$A$2:$A$201,$A26,Inputs!$B$2:$B$201,$B26)/SUMIFS(Inputs!$C$2:$C$201,Inputs!$A$2:$A$201,$A26,Inputs!$B$2:$B$201,$B26),0)</f>
        <v>0.04737524346377413</v>
      </c>
      <c r="G26" s="27">
        <f ca="1">D26*SUMIFS(Inputs!$R$2:$R$23,Inputs!$P$2:$P$23,$B26)/SUMIFS(Inputs!$Q$2:$Q$23,Inputs!$P$2:$P$23,$B26)</f>
        <v>0.015153406767281798</v>
      </c>
      <c r="H26" s="27">
        <f ca="1">MAX(G26,$H$1)</f>
        <v>0.015153406767281798</v>
      </c>
      <c r="I26" s="27">
        <f ca="1">MIN(G26,$I$1)</f>
        <v>0.015153406767281798</v>
      </c>
    </row>
    <row r="27" spans="1:9" x14ac:dyDescent="0.3">
      <c r="A27" s="24">
        <v>2020</v>
      </c>
      <c r="B27" s="24" cm="1" t="str">
        <f t="array" aca="1" ref="B27" ca="1">INDIRECT("'Params'!A" &amp; (QUOTIENT(ROW(A27)-4, 10) + 1))</f>
        <v>ENCON</v>
      </c>
      <c r="C27" s="25">
        <f ca="1">SUMIFS(Inputs!$F$2:$F$201,Inputs!$A$2:$A$201,$A27,Inputs!$B$2:$B$201,$B27)+SUMIFS(Inputs!$D$2:$D$201,Inputs!$A$2:$A$201,$A27,Inputs!$B$2:$B$201,$B27)+SUMIFS(Inputs!$G$2:$G$201,Inputs!$A$2:$A$201,$A27,Inputs!$B$2:$B$201,$B27)*+SUMIFS(Inputs!$X$2:$X$201,Inputs!$W$2:$W$201,$A27,Inputs!$V$2:$V$201,$B27)</f>
        <v>27396.481352535156</v>
      </c>
      <c r="D27" s="26">
        <f ca="1">IFERROR(SUMIFS(Inputs!$G$2:$G$201,Inputs!$A$2:$A$201,$A27,Inputs!$B$2:$B$201,$B27)/SUMIFS(Inputs!$C$2:$C$201,Inputs!$A$2:$A$201,$A27,Inputs!$B$2:$B$201,$B27),0)</f>
        <v>0.012444261475047996</v>
      </c>
      <c r="E27" s="25">
        <f ca="1">SUMIFS(Inputs!$F$2:$F$201,Inputs!$A$2:$A$201,$A27,Inputs!$B$2:$B$201,$B27)+SUMIFS(Inputs!$D$2:$D$201,Inputs!$A$2:$A$201,$A27,Inputs!$B$2:$B$201,$B27)+SUMIFS(Inputs!$H$2:$H$201,Inputs!$A$2:$A$201,$A27,Inputs!$B$2:$B$201,$B27)*+SUMIFS(Inputs!$X$2:$X$201,Inputs!$W$2:$W$201,$A27,Inputs!$V$2:$V$201,$B27)</f>
        <v>32231.96494894034</v>
      </c>
      <c r="F27" s="26">
        <f ca="1">IFERROR(SUMIFS(Inputs!$H$2:$H$201,Inputs!$A$2:$A$201,$A27,Inputs!$B$2:$B$201,$B27)/SUMIFS(Inputs!$C$2:$C$201,Inputs!$A$2:$A$201,$A27,Inputs!$B$2:$B$201,$B27),0)</f>
        <v>0.014640675816542268</v>
      </c>
      <c r="G27" s="27">
        <f ca="1">D27*SUMIFS(Inputs!$R$2:$R$23,Inputs!$P$2:$P$23,$B27)/SUMIFS(Inputs!$Q$2:$Q$23,Inputs!$P$2:$P$23,$B27)</f>
        <v>0.0046567834072708085</v>
      </c>
      <c r="H27" s="27">
        <f ca="1">MAX(G27,$H$1)</f>
        <v>0.0046567834072708085</v>
      </c>
      <c r="I27" s="27">
        <f ca="1">MIN(G27,$I$1)</f>
        <v>0.0046567834072708085</v>
      </c>
    </row>
    <row r="28" spans="1:9" x14ac:dyDescent="0.3">
      <c r="A28" s="24">
        <v>2021</v>
      </c>
      <c r="B28" s="24" cm="1" t="str">
        <f t="array" aca="1" ref="B28" ca="1">INDIRECT("'Params'!A" &amp; (QUOTIENT(ROW(A28)-4, 10) + 1))</f>
        <v>ENCON</v>
      </c>
      <c r="C28" s="25">
        <f ca="1">SUMIFS(Inputs!$F$2:$F$201,Inputs!$A$2:$A$201,$A28,Inputs!$B$2:$B$201,$B28)+SUMIFS(Inputs!$D$2:$D$201,Inputs!$A$2:$A$201,$A28,Inputs!$B$2:$B$201,$B28)+SUMIFS(Inputs!$G$2:$G$201,Inputs!$A$2:$A$201,$A28,Inputs!$B$2:$B$201,$B28)*+SUMIFS(Inputs!$X$2:$X$201,Inputs!$W$2:$W$201,$A28,Inputs!$V$2:$V$201,$B28)</f>
        <v>168967.97063376862</v>
      </c>
      <c r="D28" s="26">
        <f ca="1">IFERROR(SUMIFS(Inputs!$G$2:$G$201,Inputs!$A$2:$A$201,$A28,Inputs!$B$2:$B$201,$B28)/SUMIFS(Inputs!$C$2:$C$201,Inputs!$A$2:$A$201,$A28,Inputs!$B$2:$B$201,$B28),0)</f>
        <v>0.03356298356990778</v>
      </c>
      <c r="E28" s="25">
        <f ca="1">SUMIFS(Inputs!$F$2:$F$201,Inputs!$A$2:$A$201,$A28,Inputs!$B$2:$B$201,$B28)+SUMIFS(Inputs!$D$2:$D$201,Inputs!$A$2:$A$201,$A28,Inputs!$B$2:$B$201,$B28)+SUMIFS(Inputs!$H$2:$H$201,Inputs!$A$2:$A$201,$A28,Inputs!$B$2:$B$201,$B28)*+SUMIFS(Inputs!$X$2:$X$201,Inputs!$W$2:$W$201,$A28,Inputs!$V$2:$V$201,$B28)</f>
        <v>185347.83786669507</v>
      </c>
      <c r="F28" s="26">
        <f ca="1">IFERROR(SUMIFS(Inputs!$H$2:$H$201,Inputs!$A$2:$A$201,$A28,Inputs!$B$2:$B$201,$B28)/SUMIFS(Inputs!$C$2:$C$201,Inputs!$A$2:$A$201,$A28,Inputs!$B$2:$B$201,$B28),0)</f>
        <v>0.03975581817505543</v>
      </c>
      <c r="G28" s="27">
        <f ca="1">D28*SUMIFS(Inputs!$R$2:$R$23,Inputs!$P$2:$P$23,$B28)/SUMIFS(Inputs!$Q$2:$Q$23,Inputs!$P$2:$P$23,$B28)</f>
        <v>0.01255964809966728</v>
      </c>
      <c r="H28" s="27">
        <f ca="1">MAX(G28,$H$1)</f>
        <v>0.01255964809966728</v>
      </c>
      <c r="I28" s="27">
        <f ca="1">MIN(G28,$I$1)</f>
        <v>0.01255964809966728</v>
      </c>
    </row>
    <row r="29" spans="1:9" x14ac:dyDescent="0.3">
      <c r="A29" s="24">
        <v>2022</v>
      </c>
      <c r="B29" s="24" cm="1" t="str">
        <f t="array" aca="1" ref="B29" ca="1">INDIRECT("'Params'!A" &amp; (QUOTIENT(ROW(A29)-4, 10) + 1))</f>
        <v>ENCON</v>
      </c>
      <c r="C29" s="25">
        <f ca="1">SUMIFS(Inputs!$F$2:$F$201,Inputs!$A$2:$A$201,$A29,Inputs!$B$2:$B$201,$B29)+SUMIFS(Inputs!$D$2:$D$201,Inputs!$A$2:$A$201,$A29,Inputs!$B$2:$B$201,$B29)+SUMIFS(Inputs!$G$2:$G$201,Inputs!$A$2:$A$201,$A29,Inputs!$B$2:$B$201,$B29)*+SUMIFS(Inputs!$X$2:$X$201,Inputs!$W$2:$W$201,$A29,Inputs!$V$2:$V$201,$B29)</f>
        <v>1005799.2930124705</v>
      </c>
      <c r="D29" s="26">
        <f ca="1">IFERROR(SUMIFS(Inputs!$G$2:$G$201,Inputs!$A$2:$A$201,$A29,Inputs!$B$2:$B$201,$B29)/SUMIFS(Inputs!$C$2:$C$201,Inputs!$A$2:$A$201,$A29,Inputs!$B$2:$B$201,$B29),0)</f>
        <v>0.20072811670036403</v>
      </c>
      <c r="E29" s="25">
        <f ca="1">SUMIFS(Inputs!$F$2:$F$201,Inputs!$A$2:$A$201,$A29,Inputs!$B$2:$B$201,$B29)+SUMIFS(Inputs!$D$2:$D$201,Inputs!$A$2:$A$201,$A29,Inputs!$B$2:$B$201,$B29)+SUMIFS(Inputs!$H$2:$H$201,Inputs!$A$2:$A$201,$A29,Inputs!$B$2:$B$201,$B29)*+SUMIFS(Inputs!$X$2:$X$201,Inputs!$W$2:$W$201,$A29,Inputs!$V$2:$V$201,$B29)</f>
        <v>1118907.9203643925</v>
      </c>
      <c r="F29" s="26">
        <f ca="1">IFERROR(SUMIFS(Inputs!$H$2:$H$201,Inputs!$A$2:$A$201,$A29,Inputs!$B$2:$B$201,$B29)/SUMIFS(Inputs!$C$2:$C$201,Inputs!$A$2:$A$201,$A29,Inputs!$B$2:$B$201,$B29),0)</f>
        <v>0.23984067110111418</v>
      </c>
      <c r="G29" s="27">
        <f ca="1">D29*SUMIFS(Inputs!$R$2:$R$23,Inputs!$P$2:$P$23,$B29)/SUMIFS(Inputs!$Q$2:$Q$23,Inputs!$P$2:$P$23,$B29)</f>
        <v>0.0751147318060808</v>
      </c>
      <c r="H29" s="27">
        <f ca="1">MAX(G29,$H$1)</f>
        <v>0.0751147318060808</v>
      </c>
      <c r="I29" s="27">
        <f ca="1">MIN(G29,$I$1)</f>
        <v>0.0751147318060808</v>
      </c>
    </row>
    <row r="30" spans="1:9" x14ac:dyDescent="0.3">
      <c r="A30" s="24">
        <v>2023</v>
      </c>
      <c r="B30" s="24" cm="1" t="str">
        <f t="array" aca="1" ref="B30" ca="1">INDIRECT("'Params'!A" &amp; (QUOTIENT(ROW(A30)-4, 10) + 1))</f>
        <v>ENCON</v>
      </c>
      <c r="C30" s="25">
        <f ca="1">SUMIFS(Inputs!$F$2:$F$201,Inputs!$A$2:$A$201,$A30,Inputs!$B$2:$B$201,$B30)+SUMIFS(Inputs!$D$2:$D$201,Inputs!$A$2:$A$201,$A30,Inputs!$B$2:$B$201,$B30)+SUMIFS(Inputs!$G$2:$G$201,Inputs!$A$2:$A$201,$A30,Inputs!$B$2:$B$201,$B30)*+SUMIFS(Inputs!$X$2:$X$201,Inputs!$W$2:$W$201,$A30,Inputs!$V$2:$V$201,$B30)</f>
        <v>4658753.825234069</v>
      </c>
      <c r="D30" s="26">
        <f ca="1">IFERROR(SUMIFS(Inputs!$G$2:$G$201,Inputs!$A$2:$A$201,$A30,Inputs!$B$2:$B$201,$B30)/SUMIFS(Inputs!$C$2:$C$201,Inputs!$A$2:$A$201,$A30,Inputs!$B$2:$B$201,$B30),0)</f>
        <v>0.34473061824687</v>
      </c>
      <c r="E30" s="25">
        <f ca="1">SUMIFS(Inputs!$F$2:$F$201,Inputs!$A$2:$A$201,$A30,Inputs!$B$2:$B$201,$B30)+SUMIFS(Inputs!$D$2:$D$201,Inputs!$A$2:$A$201,$A30,Inputs!$B$2:$B$201,$B30)+SUMIFS(Inputs!$H$2:$H$201,Inputs!$A$2:$A$201,$A30,Inputs!$B$2:$B$201,$B30)*+SUMIFS(Inputs!$X$2:$X$201,Inputs!$W$2:$W$201,$A30,Inputs!$V$2:$V$201,$B30)</f>
        <v>5130590.004815906</v>
      </c>
      <c r="F30" s="26">
        <f ca="1">IFERROR(SUMIFS(Inputs!$H$2:$H$201,Inputs!$A$2:$A$201,$A30,Inputs!$B$2:$B$201,$B30)/SUMIFS(Inputs!$C$2:$C$201,Inputs!$A$2:$A$201,$A30,Inputs!$B$2:$B$201,$B30),0)</f>
        <v>0.4154436299255507</v>
      </c>
      <c r="G30" s="27">
        <f ca="1">D30*SUMIFS(Inputs!$R$2:$R$23,Inputs!$P$2:$P$23,$B30)/SUMIFS(Inputs!$Q$2:$Q$23,Inputs!$P$2:$P$23,$B30)</f>
        <v>0.12900209676959074</v>
      </c>
      <c r="H30" s="27">
        <f ca="1">MAX(G30,$H$1)</f>
        <v>0.12900209676959074</v>
      </c>
      <c r="I30" s="27">
        <f ca="1">MIN(G30,$I$1)</f>
        <v>0.12900209676959074</v>
      </c>
    </row>
    <row r="31" spans="1:9" x14ac:dyDescent="0.3">
      <c r="A31" s="24">
        <v>2024</v>
      </c>
      <c r="B31" s="24" cm="1" t="str">
        <f t="array" aca="1" ref="B31" ca="1">INDIRECT("'Params'!A" &amp; (QUOTIENT(ROW(A31)-4, 10) + 1))</f>
        <v>ENCON</v>
      </c>
      <c r="C31" s="25">
        <f ca="1">SUMIFS(Inputs!$F$2:$F$201,Inputs!$A$2:$A$201,$A31,Inputs!$B$2:$B$201,$B31)+SUMIFS(Inputs!$D$2:$D$201,Inputs!$A$2:$A$201,$A31,Inputs!$B$2:$B$201,$B31)+SUMIFS(Inputs!$G$2:$G$201,Inputs!$A$2:$A$201,$A31,Inputs!$B$2:$B$201,$B31)*+SUMIFS(Inputs!$X$2:$X$201,Inputs!$W$2:$W$201,$A31,Inputs!$V$2:$V$201,$B31)</f>
        <v>1957812.6546989963</v>
      </c>
      <c r="D31" s="26">
        <f ca="1">IFERROR(SUMIFS(Inputs!$G$2:$G$201,Inputs!$A$2:$A$201,$A31,Inputs!$B$2:$B$201,$B31)/SUMIFS(Inputs!$C$2:$C$201,Inputs!$A$2:$A$201,$A31,Inputs!$B$2:$B$201,$B31),0)</f>
        <v>0.5882451793564272</v>
      </c>
      <c r="E31" s="25">
        <f ca="1">SUMIFS(Inputs!$F$2:$F$201,Inputs!$A$2:$A$201,$A31,Inputs!$B$2:$B$201,$B31)+SUMIFS(Inputs!$D$2:$D$201,Inputs!$A$2:$A$201,$A31,Inputs!$B$2:$B$201,$B31)+SUMIFS(Inputs!$H$2:$H$201,Inputs!$A$2:$A$201,$A31,Inputs!$B$2:$B$201,$B31)*+SUMIFS(Inputs!$X$2:$X$201,Inputs!$W$2:$W$201,$A31,Inputs!$V$2:$V$201,$B31)</f>
        <v>2362800.997086199</v>
      </c>
      <c r="F31" s="26">
        <f ca="1">IFERROR(SUMIFS(Inputs!$H$2:$H$201,Inputs!$A$2:$A$201,$A31,Inputs!$B$2:$B$201,$B31)/SUMIFS(Inputs!$C$2:$C$201,Inputs!$A$2:$A$201,$A31,Inputs!$B$2:$B$201,$B31),0)</f>
        <v>0.7153781628616451</v>
      </c>
      <c r="G31" s="27">
        <f ca="1">D31*SUMIFS(Inputs!$R$2:$R$23,Inputs!$P$2:$P$23,$B31)/SUMIFS(Inputs!$Q$2:$Q$23,Inputs!$P$2:$P$23,$B31)</f>
        <v>0.22012800005260943</v>
      </c>
      <c r="H31" s="27">
        <f ca="1">MAX(G31,$H$1)</f>
        <v>0.22012800005260943</v>
      </c>
      <c r="I31" s="27">
        <f ca="1">MIN(G31,$I$1)</f>
        <v>0.22012800005260943</v>
      </c>
    </row>
    <row r="32" spans="1:9" x14ac:dyDescent="0.3">
      <c r="A32" s="24">
        <v>2025</v>
      </c>
      <c r="B32" s="24" cm="1" t="str">
        <f t="array" aca="1" ref="B32" ca="1">INDIRECT("'Params'!A" &amp; (QUOTIENT(ROW(A32)-4, 10) + 1))</f>
        <v>ENCON</v>
      </c>
      <c r="C32" s="25">
        <f ca="1">SUMIFS(Inputs!$F$2:$F$201,Inputs!$A$2:$A$201,$A32,Inputs!$B$2:$B$201,$B32)+SUMIFS(Inputs!$D$2:$D$201,Inputs!$A$2:$A$201,$A32,Inputs!$B$2:$B$201,$B32)+SUMIFS(Inputs!$G$2:$G$201,Inputs!$A$2:$A$201,$A32,Inputs!$B$2:$B$201,$B32)*+SUMIFS(Inputs!$X$2:$X$201,Inputs!$W$2:$W$201,$A32,Inputs!$V$2:$V$201,$B32)</f>
        <v>465883.8509622677</v>
      </c>
      <c r="D32" s="26">
        <f ca="1">IFERROR(SUMIFS(Inputs!$G$2:$G$201,Inputs!$A$2:$A$201,$A32,Inputs!$B$2:$B$201,$B32)/SUMIFS(Inputs!$C$2:$C$201,Inputs!$A$2:$A$201,$A32,Inputs!$B$2:$B$201,$B32),0)</f>
        <v>0.5499991247598256</v>
      </c>
      <c r="E32" s="25">
        <f ca="1">SUMIFS(Inputs!$F$2:$F$201,Inputs!$A$2:$A$201,$A32,Inputs!$B$2:$B$201,$B32)+SUMIFS(Inputs!$D$2:$D$201,Inputs!$A$2:$A$201,$A32,Inputs!$B$2:$B$201,$B32)+SUMIFS(Inputs!$H$2:$H$201,Inputs!$A$2:$A$201,$A32,Inputs!$B$2:$B$201,$B32)*+SUMIFS(Inputs!$X$2:$X$201,Inputs!$W$2:$W$201,$A32,Inputs!$V$2:$V$201,$B32)</f>
        <v>572925.6066411932</v>
      </c>
      <c r="F32" s="26">
        <f ca="1">IFERROR(SUMIFS(Inputs!$H$2:$H$201,Inputs!$A$2:$A$201,$A32,Inputs!$B$2:$B$201,$B32)/SUMIFS(Inputs!$C$2:$C$201,Inputs!$A$2:$A$201,$A32,Inputs!$B$2:$B$201,$B32),0)</f>
        <v>0.6763680704131257</v>
      </c>
      <c r="G32" s="27">
        <f ca="1">D32*SUMIFS(Inputs!$R$2:$R$23,Inputs!$P$2:$P$23,$B32)/SUMIFS(Inputs!$Q$2:$Q$23,Inputs!$P$2:$P$23,$B32)</f>
        <v>0.2058158938021788</v>
      </c>
      <c r="H32" s="27">
        <f ca="1">MAX(G32,$H$1)</f>
        <v>0.2058158938021788</v>
      </c>
      <c r="I32" s="27">
        <f ca="1">MIN(G32,$I$1)</f>
        <v>0.2058158938021788</v>
      </c>
    </row>
    <row r="33" spans="1:9" x14ac:dyDescent="0.3">
      <c r="A33" s="24">
        <v>2026</v>
      </c>
      <c r="B33" s="24" cm="1" t="str">
        <f t="array" aca="1" ref="B33" ca="1">INDIRECT("'Params'!A" &amp; (QUOTIENT(ROW(A33)-4, 10) + 1))</f>
        <v>ENCON</v>
      </c>
      <c r="C33" s="25">
        <f ca="1">SUMIFS(Inputs!$F$2:$F$201,Inputs!$A$2:$A$201,$A33,Inputs!$B$2:$B$201,$B33)+SUMIFS(Inputs!$D$2:$D$201,Inputs!$A$2:$A$201,$A33,Inputs!$B$2:$B$201,$B33)+SUMIFS(Inputs!$G$2:$G$201,Inputs!$A$2:$A$201,$A33,Inputs!$B$2:$B$201,$B33)*+SUMIFS(Inputs!$X$2:$X$201,Inputs!$W$2:$W$201,$A33,Inputs!$V$2:$V$201,$B33)</f>
        <v>18759.68992248065</v>
      </c>
      <c r="D33" s="26">
        <f ca="1">IFERROR(SUMIFS(Inputs!$G$2:$G$201,Inputs!$A$2:$A$201,$A33,Inputs!$B$2:$B$201,$B33)/SUMIFS(Inputs!$C$2:$C$201,Inputs!$A$2:$A$201,$A33,Inputs!$B$2:$B$201,$B33),0)</f>
        <v>0.55</v>
      </c>
      <c r="E33" s="25">
        <f ca="1">SUMIFS(Inputs!$F$2:$F$201,Inputs!$A$2:$A$201,$A33,Inputs!$B$2:$B$201,$B33)+SUMIFS(Inputs!$D$2:$D$201,Inputs!$A$2:$A$201,$A33,Inputs!$B$2:$B$201,$B33)+SUMIFS(Inputs!$H$2:$H$201,Inputs!$A$2:$A$201,$A33,Inputs!$B$2:$B$201,$B33)*+SUMIFS(Inputs!$X$2:$X$201,Inputs!$W$2:$W$201,$A33,Inputs!$V$2:$V$201,$B33)</f>
        <v>23398.080062370434</v>
      </c>
      <c r="F33" s="26">
        <f ca="1">IFERROR(SUMIFS(Inputs!$H$2:$H$201,Inputs!$A$2:$A$201,$A33,Inputs!$B$2:$B$201,$B33)/SUMIFS(Inputs!$C$2:$C$201,Inputs!$A$2:$A$201,$A33,Inputs!$B$2:$B$201,$B33),0)</f>
        <v>0.6859891654649504</v>
      </c>
      <c r="G33" s="27">
        <f ca="1">D33*SUMIFS(Inputs!$R$2:$R$23,Inputs!$P$2:$P$23,$B33)/SUMIFS(Inputs!$Q$2:$Q$23,Inputs!$P$2:$P$23,$B33)</f>
        <v>0.20581622132695235</v>
      </c>
      <c r="H33" s="27">
        <f ca="1">MAX(G33,$H$1)</f>
        <v>0.20581622132695235</v>
      </c>
      <c r="I33" s="27">
        <f ca="1">MIN(G33,$I$1)</f>
        <v>0.20581622132695235</v>
      </c>
    </row>
    <row r="34" spans="1:9" x14ac:dyDescent="0.3">
      <c r="A34" s="24">
        <v>2017</v>
      </c>
      <c r="B34" s="24" cm="1" t="str">
        <f t="array" aca="1" ref="B34" ca="1">INDIRECT("'Params'!A" &amp; (QUOTIENT(ROW(A34)-4, 10) + 1))</f>
        <v>DBENR</v>
      </c>
      <c r="C34" s="25">
        <f ca="1">SUMIFS(Inputs!$F$2:$F$201,Inputs!$A$2:$A$201,$A34,Inputs!$B$2:$B$201,$B34)+SUMIFS(Inputs!$D$2:$D$201,Inputs!$A$2:$A$201,$A34,Inputs!$B$2:$B$201,$B34)+SUMIFS(Inputs!$G$2:$G$201,Inputs!$A$2:$A$201,$A34,Inputs!$B$2:$B$201,$B34)*+SUMIFS(Inputs!$X$2:$X$201,Inputs!$W$2:$W$201,$A34,Inputs!$V$2:$V$201,$B34)</f>
        <v>0.0</v>
      </c>
      <c r="D34" s="26">
        <f ca="1">IFERROR(SUMIFS(Inputs!$G$2:$G$201,Inputs!$A$2:$A$201,$A34,Inputs!$B$2:$B$201,$B34)/SUMIFS(Inputs!$C$2:$C$201,Inputs!$A$2:$A$201,$A34,Inputs!$B$2:$B$201,$B34),0)</f>
        <v>0.0</v>
      </c>
      <c r="E34" s="25">
        <f ca="1">SUMIFS(Inputs!$F$2:$F$201,Inputs!$A$2:$A$201,$A34,Inputs!$B$2:$B$201,$B34)+SUMIFS(Inputs!$D$2:$D$201,Inputs!$A$2:$A$201,$A34,Inputs!$B$2:$B$201,$B34)+SUMIFS(Inputs!$H$2:$H$201,Inputs!$A$2:$A$201,$A34,Inputs!$B$2:$B$201,$B34)*+SUMIFS(Inputs!$X$2:$X$201,Inputs!$W$2:$W$201,$A34,Inputs!$V$2:$V$201,$B34)</f>
        <v>0.0</v>
      </c>
      <c r="F34" s="26">
        <f ca="1">IFERROR(SUMIFS(Inputs!$H$2:$H$201,Inputs!$A$2:$A$201,$A34,Inputs!$B$2:$B$201,$B34)/SUMIFS(Inputs!$C$2:$C$201,Inputs!$A$2:$A$201,$A34,Inputs!$B$2:$B$201,$B34),0)</f>
        <v>0.0</v>
      </c>
      <c r="G34" s="27">
        <f ca="1">D34*SUMIFS(Inputs!$R$2:$R$23,Inputs!$P$2:$P$23,$B34)/SUMIFS(Inputs!$Q$2:$Q$23,Inputs!$P$2:$P$23,$B34)</f>
        <v>0.0</v>
      </c>
      <c r="H34" s="27">
        <f ca="1">MAX(G34,$H$1)</f>
        <v>0.0</v>
      </c>
      <c r="I34" s="27">
        <f ca="1">MIN(G34,$I$1)</f>
        <v>0.0</v>
      </c>
    </row>
    <row r="35" spans="1:9" x14ac:dyDescent="0.3">
      <c r="A35" s="24">
        <v>2018</v>
      </c>
      <c r="B35" s="24" cm="1" t="str">
        <f t="array" aca="1" ref="B35" ca="1">INDIRECT("'Params'!A" &amp; (QUOTIENT(ROW(A35)-4, 10) + 1))</f>
        <v>DBENR</v>
      </c>
      <c r="C35" s="25">
        <f ca="1">SUMIFS(Inputs!$F$2:$F$201,Inputs!$A$2:$A$201,$A35,Inputs!$B$2:$B$201,$B35)+SUMIFS(Inputs!$D$2:$D$201,Inputs!$A$2:$A$201,$A35,Inputs!$B$2:$B$201,$B35)+SUMIFS(Inputs!$G$2:$G$201,Inputs!$A$2:$A$201,$A35,Inputs!$B$2:$B$201,$B35)*+SUMIFS(Inputs!$X$2:$X$201,Inputs!$W$2:$W$201,$A35,Inputs!$V$2:$V$201,$B35)</f>
        <v>0.0</v>
      </c>
      <c r="D35" s="26">
        <f ca="1">IFERROR(SUMIFS(Inputs!$G$2:$G$201,Inputs!$A$2:$A$201,$A35,Inputs!$B$2:$B$201,$B35)/SUMIFS(Inputs!$C$2:$C$201,Inputs!$A$2:$A$201,$A35,Inputs!$B$2:$B$201,$B35),0)</f>
        <v>0.0</v>
      </c>
      <c r="E35" s="25">
        <f ca="1">SUMIFS(Inputs!$F$2:$F$201,Inputs!$A$2:$A$201,$A35,Inputs!$B$2:$B$201,$B35)+SUMIFS(Inputs!$D$2:$D$201,Inputs!$A$2:$A$201,$A35,Inputs!$B$2:$B$201,$B35)+SUMIFS(Inputs!$H$2:$H$201,Inputs!$A$2:$A$201,$A35,Inputs!$B$2:$B$201,$B35)*+SUMIFS(Inputs!$X$2:$X$201,Inputs!$W$2:$W$201,$A35,Inputs!$V$2:$V$201,$B35)</f>
        <v>0.0</v>
      </c>
      <c r="F35" s="26">
        <f ca="1">IFERROR(SUMIFS(Inputs!$H$2:$H$201,Inputs!$A$2:$A$201,$A35,Inputs!$B$2:$B$201,$B35)/SUMIFS(Inputs!$C$2:$C$201,Inputs!$A$2:$A$201,$A35,Inputs!$B$2:$B$201,$B35),0)</f>
        <v>0.0</v>
      </c>
      <c r="G35" s="27">
        <f ca="1">D35*SUMIFS(Inputs!$R$2:$R$23,Inputs!$P$2:$P$23,$B35)/SUMIFS(Inputs!$Q$2:$Q$23,Inputs!$P$2:$P$23,$B35)</f>
        <v>0.0</v>
      </c>
      <c r="H35" s="27">
        <f ca="1">MAX(G35,$H$1)</f>
        <v>0.0</v>
      </c>
      <c r="I35" s="27">
        <f ca="1">MIN(G35,$I$1)</f>
        <v>0.0</v>
      </c>
    </row>
    <row r="36" spans="1:9" x14ac:dyDescent="0.3">
      <c r="A36" s="24">
        <v>2019</v>
      </c>
      <c r="B36" s="24" cm="1" t="str">
        <f t="array" aca="1" ref="B36" ca="1">INDIRECT("'Params'!A" &amp; (QUOTIENT(ROW(A36)-4, 10) + 1))</f>
        <v>DBENR</v>
      </c>
      <c r="C36" s="25">
        <f ca="1">SUMIFS(Inputs!$F$2:$F$201,Inputs!$A$2:$A$201,$A36,Inputs!$B$2:$B$201,$B36)+SUMIFS(Inputs!$D$2:$D$201,Inputs!$A$2:$A$201,$A36,Inputs!$B$2:$B$201,$B36)+SUMIFS(Inputs!$G$2:$G$201,Inputs!$A$2:$A$201,$A36,Inputs!$B$2:$B$201,$B36)*+SUMIFS(Inputs!$X$2:$X$201,Inputs!$W$2:$W$201,$A36,Inputs!$V$2:$V$201,$B36)</f>
        <v>0.0</v>
      </c>
      <c r="D36" s="26">
        <f ca="1">IFERROR(SUMIFS(Inputs!$G$2:$G$201,Inputs!$A$2:$A$201,$A36,Inputs!$B$2:$B$201,$B36)/SUMIFS(Inputs!$C$2:$C$201,Inputs!$A$2:$A$201,$A36,Inputs!$B$2:$B$201,$B36),0)</f>
        <v>0.0</v>
      </c>
      <c r="E36" s="25">
        <f ca="1">SUMIFS(Inputs!$F$2:$F$201,Inputs!$A$2:$A$201,$A36,Inputs!$B$2:$B$201,$B36)+SUMIFS(Inputs!$D$2:$D$201,Inputs!$A$2:$A$201,$A36,Inputs!$B$2:$B$201,$B36)+SUMIFS(Inputs!$H$2:$H$201,Inputs!$A$2:$A$201,$A36,Inputs!$B$2:$B$201,$B36)*+SUMIFS(Inputs!$X$2:$X$201,Inputs!$W$2:$W$201,$A36,Inputs!$V$2:$V$201,$B36)</f>
        <v>0.0</v>
      </c>
      <c r="F36" s="26">
        <f ca="1">IFERROR(SUMIFS(Inputs!$H$2:$H$201,Inputs!$A$2:$A$201,$A36,Inputs!$B$2:$B$201,$B36)/SUMIFS(Inputs!$C$2:$C$201,Inputs!$A$2:$A$201,$A36,Inputs!$B$2:$B$201,$B36),0)</f>
        <v>0.0</v>
      </c>
      <c r="G36" s="27">
        <f ca="1">D36*SUMIFS(Inputs!$R$2:$R$23,Inputs!$P$2:$P$23,$B36)/SUMIFS(Inputs!$Q$2:$Q$23,Inputs!$P$2:$P$23,$B36)</f>
        <v>0.0</v>
      </c>
      <c r="H36" s="27">
        <f ca="1">MAX(G36,$H$1)</f>
        <v>0.0</v>
      </c>
      <c r="I36" s="27">
        <f ca="1">MIN(G36,$I$1)</f>
        <v>0.0</v>
      </c>
    </row>
    <row r="37" spans="1:9" x14ac:dyDescent="0.3">
      <c r="A37" s="24">
        <v>2020</v>
      </c>
      <c r="B37" s="24" cm="1" t="str">
        <f t="array" aca="1" ref="B37" ca="1">INDIRECT("'Params'!A" &amp; (QUOTIENT(ROW(A37)-4, 10) + 1))</f>
        <v>DBENR</v>
      </c>
      <c r="C37" s="25">
        <f ca="1">SUMIFS(Inputs!$F$2:$F$201,Inputs!$A$2:$A$201,$A37,Inputs!$B$2:$B$201,$B37)+SUMIFS(Inputs!$D$2:$D$201,Inputs!$A$2:$A$201,$A37,Inputs!$B$2:$B$201,$B37)+SUMIFS(Inputs!$G$2:$G$201,Inputs!$A$2:$A$201,$A37,Inputs!$B$2:$B$201,$B37)*+SUMIFS(Inputs!$X$2:$X$201,Inputs!$W$2:$W$201,$A37,Inputs!$V$2:$V$201,$B37)</f>
        <v>0.0</v>
      </c>
      <c r="D37" s="26">
        <f ca="1">IFERROR(SUMIFS(Inputs!$G$2:$G$201,Inputs!$A$2:$A$201,$A37,Inputs!$B$2:$B$201,$B37)/SUMIFS(Inputs!$C$2:$C$201,Inputs!$A$2:$A$201,$A37,Inputs!$B$2:$B$201,$B37),0)</f>
        <v>0.0</v>
      </c>
      <c r="E37" s="25">
        <f ca="1">SUMIFS(Inputs!$F$2:$F$201,Inputs!$A$2:$A$201,$A37,Inputs!$B$2:$B$201,$B37)+SUMIFS(Inputs!$D$2:$D$201,Inputs!$A$2:$A$201,$A37,Inputs!$B$2:$B$201,$B37)+SUMIFS(Inputs!$H$2:$H$201,Inputs!$A$2:$A$201,$A37,Inputs!$B$2:$B$201,$B37)*+SUMIFS(Inputs!$X$2:$X$201,Inputs!$W$2:$W$201,$A37,Inputs!$V$2:$V$201,$B37)</f>
        <v>0.0</v>
      </c>
      <c r="F37" s="26">
        <f ca="1">IFERROR(SUMIFS(Inputs!$H$2:$H$201,Inputs!$A$2:$A$201,$A37,Inputs!$B$2:$B$201,$B37)/SUMIFS(Inputs!$C$2:$C$201,Inputs!$A$2:$A$201,$A37,Inputs!$B$2:$B$201,$B37),0)</f>
        <v>0.0</v>
      </c>
      <c r="G37" s="27">
        <f ca="1">D37*SUMIFS(Inputs!$R$2:$R$23,Inputs!$P$2:$P$23,$B37)/SUMIFS(Inputs!$Q$2:$Q$23,Inputs!$P$2:$P$23,$B37)</f>
        <v>0.0</v>
      </c>
      <c r="H37" s="27">
        <f ca="1">MAX(G37,$H$1)</f>
        <v>0.0</v>
      </c>
      <c r="I37" s="27">
        <f ca="1">MIN(G37,$I$1)</f>
        <v>0.0</v>
      </c>
    </row>
    <row r="38" spans="1:9" x14ac:dyDescent="0.3">
      <c r="A38" s="24">
        <v>2021</v>
      </c>
      <c r="B38" s="24" cm="1" t="str">
        <f t="array" aca="1" ref="B38" ca="1">INDIRECT("'Params'!A" &amp; (QUOTIENT(ROW(A38)-4, 10) + 1))</f>
        <v>DBENR</v>
      </c>
      <c r="C38" s="25">
        <f ca="1">SUMIFS(Inputs!$F$2:$F$201,Inputs!$A$2:$A$201,$A38,Inputs!$B$2:$B$201,$B38)+SUMIFS(Inputs!$D$2:$D$201,Inputs!$A$2:$A$201,$A38,Inputs!$B$2:$B$201,$B38)+SUMIFS(Inputs!$G$2:$G$201,Inputs!$A$2:$A$201,$A38,Inputs!$B$2:$B$201,$B38)*+SUMIFS(Inputs!$X$2:$X$201,Inputs!$W$2:$W$201,$A38,Inputs!$V$2:$V$201,$B38)</f>
        <v>0.0</v>
      </c>
      <c r="D38" s="26">
        <f ca="1">IFERROR(SUMIFS(Inputs!$G$2:$G$201,Inputs!$A$2:$A$201,$A38,Inputs!$B$2:$B$201,$B38)/SUMIFS(Inputs!$C$2:$C$201,Inputs!$A$2:$A$201,$A38,Inputs!$B$2:$B$201,$B38),0)</f>
        <v>0.0</v>
      </c>
      <c r="E38" s="25">
        <f ca="1">SUMIFS(Inputs!$F$2:$F$201,Inputs!$A$2:$A$201,$A38,Inputs!$B$2:$B$201,$B38)+SUMIFS(Inputs!$D$2:$D$201,Inputs!$A$2:$A$201,$A38,Inputs!$B$2:$B$201,$B38)+SUMIFS(Inputs!$H$2:$H$201,Inputs!$A$2:$A$201,$A38,Inputs!$B$2:$B$201,$B38)*+SUMIFS(Inputs!$X$2:$X$201,Inputs!$W$2:$W$201,$A38,Inputs!$V$2:$V$201,$B38)</f>
        <v>0.0</v>
      </c>
      <c r="F38" s="26">
        <f ca="1">IFERROR(SUMIFS(Inputs!$H$2:$H$201,Inputs!$A$2:$A$201,$A38,Inputs!$B$2:$B$201,$B38)/SUMIFS(Inputs!$C$2:$C$201,Inputs!$A$2:$A$201,$A38,Inputs!$B$2:$B$201,$B38),0)</f>
        <v>0.0</v>
      </c>
      <c r="G38" s="27">
        <f ca="1">D38*SUMIFS(Inputs!$R$2:$R$23,Inputs!$P$2:$P$23,$B38)/SUMIFS(Inputs!$Q$2:$Q$23,Inputs!$P$2:$P$23,$B38)</f>
        <v>0.0</v>
      </c>
      <c r="H38" s="27">
        <f ca="1">MAX(G38,$H$1)</f>
        <v>0.0</v>
      </c>
      <c r="I38" s="27">
        <f ca="1">MIN(G38,$I$1)</f>
        <v>0.0</v>
      </c>
    </row>
    <row r="39" spans="1:9" x14ac:dyDescent="0.3">
      <c r="A39" s="24">
        <v>2022</v>
      </c>
      <c r="B39" s="24" cm="1" t="str">
        <f t="array" aca="1" ref="B39" ca="1">INDIRECT("'Params'!A" &amp; (QUOTIENT(ROW(A39)-4, 10) + 1))</f>
        <v>DBENR</v>
      </c>
      <c r="C39" s="25">
        <f ca="1">SUMIFS(Inputs!$F$2:$F$201,Inputs!$A$2:$A$201,$A39,Inputs!$B$2:$B$201,$B39)+SUMIFS(Inputs!$D$2:$D$201,Inputs!$A$2:$A$201,$A39,Inputs!$B$2:$B$201,$B39)+SUMIFS(Inputs!$G$2:$G$201,Inputs!$A$2:$A$201,$A39,Inputs!$B$2:$B$201,$B39)*+SUMIFS(Inputs!$X$2:$X$201,Inputs!$W$2:$W$201,$A39,Inputs!$V$2:$V$201,$B39)</f>
        <v>0.0</v>
      </c>
      <c r="D39" s="26">
        <f ca="1">IFERROR(SUMIFS(Inputs!$G$2:$G$201,Inputs!$A$2:$A$201,$A39,Inputs!$B$2:$B$201,$B39)/SUMIFS(Inputs!$C$2:$C$201,Inputs!$A$2:$A$201,$A39,Inputs!$B$2:$B$201,$B39),0)</f>
        <v>0.0</v>
      </c>
      <c r="E39" s="25">
        <f ca="1">SUMIFS(Inputs!$F$2:$F$201,Inputs!$A$2:$A$201,$A39,Inputs!$B$2:$B$201,$B39)+SUMIFS(Inputs!$D$2:$D$201,Inputs!$A$2:$A$201,$A39,Inputs!$B$2:$B$201,$B39)+SUMIFS(Inputs!$H$2:$H$201,Inputs!$A$2:$A$201,$A39,Inputs!$B$2:$B$201,$B39)*+SUMIFS(Inputs!$X$2:$X$201,Inputs!$W$2:$W$201,$A39,Inputs!$V$2:$V$201,$B39)</f>
        <v>0.0</v>
      </c>
      <c r="F39" s="26">
        <f ca="1">IFERROR(SUMIFS(Inputs!$H$2:$H$201,Inputs!$A$2:$A$201,$A39,Inputs!$B$2:$B$201,$B39)/SUMIFS(Inputs!$C$2:$C$201,Inputs!$A$2:$A$201,$A39,Inputs!$B$2:$B$201,$B39),0)</f>
        <v>0.0</v>
      </c>
      <c r="G39" s="27">
        <f ca="1">D39*SUMIFS(Inputs!$R$2:$R$23,Inputs!$P$2:$P$23,$B39)/SUMIFS(Inputs!$Q$2:$Q$23,Inputs!$P$2:$P$23,$B39)</f>
        <v>0.0</v>
      </c>
      <c r="H39" s="27">
        <f ca="1">MAX(G39,$H$1)</f>
        <v>0.0</v>
      </c>
      <c r="I39" s="27">
        <f ca="1">MIN(G39,$I$1)</f>
        <v>0.0</v>
      </c>
    </row>
    <row r="40" spans="1:9" x14ac:dyDescent="0.3">
      <c r="A40" s="24">
        <v>2023</v>
      </c>
      <c r="B40" s="24" cm="1" t="str">
        <f t="array" aca="1" ref="B40" ca="1">INDIRECT("'Params'!A" &amp; (QUOTIENT(ROW(A40)-4, 10) + 1))</f>
        <v>DBENR</v>
      </c>
      <c r="C40" s="25">
        <f ca="1">SUMIFS(Inputs!$F$2:$F$201,Inputs!$A$2:$A$201,$A40,Inputs!$B$2:$B$201,$B40)+SUMIFS(Inputs!$D$2:$D$201,Inputs!$A$2:$A$201,$A40,Inputs!$B$2:$B$201,$B40)+SUMIFS(Inputs!$G$2:$G$201,Inputs!$A$2:$A$201,$A40,Inputs!$B$2:$B$201,$B40)*+SUMIFS(Inputs!$X$2:$X$201,Inputs!$W$2:$W$201,$A40,Inputs!$V$2:$V$201,$B40)</f>
        <v>0.0</v>
      </c>
      <c r="D40" s="26">
        <f ca="1">IFERROR(SUMIFS(Inputs!$G$2:$G$201,Inputs!$A$2:$A$201,$A40,Inputs!$B$2:$B$201,$B40)/SUMIFS(Inputs!$C$2:$C$201,Inputs!$A$2:$A$201,$A40,Inputs!$B$2:$B$201,$B40),0)</f>
        <v>0.0</v>
      </c>
      <c r="E40" s="25">
        <f ca="1">SUMIFS(Inputs!$F$2:$F$201,Inputs!$A$2:$A$201,$A40,Inputs!$B$2:$B$201,$B40)+SUMIFS(Inputs!$D$2:$D$201,Inputs!$A$2:$A$201,$A40,Inputs!$B$2:$B$201,$B40)+SUMIFS(Inputs!$H$2:$H$201,Inputs!$A$2:$A$201,$A40,Inputs!$B$2:$B$201,$B40)*+SUMIFS(Inputs!$X$2:$X$201,Inputs!$W$2:$W$201,$A40,Inputs!$V$2:$V$201,$B40)</f>
        <v>0.0</v>
      </c>
      <c r="F40" s="26">
        <f ca="1">IFERROR(SUMIFS(Inputs!$H$2:$H$201,Inputs!$A$2:$A$201,$A40,Inputs!$B$2:$B$201,$B40)/SUMIFS(Inputs!$C$2:$C$201,Inputs!$A$2:$A$201,$A40,Inputs!$B$2:$B$201,$B40),0)</f>
        <v>0.0</v>
      </c>
      <c r="G40" s="27">
        <f ca="1">D40*SUMIFS(Inputs!$R$2:$R$23,Inputs!$P$2:$P$23,$B40)/SUMIFS(Inputs!$Q$2:$Q$23,Inputs!$P$2:$P$23,$B40)</f>
        <v>0.0</v>
      </c>
      <c r="H40" s="27">
        <f ca="1">MAX(G40,$H$1)</f>
        <v>0.0</v>
      </c>
      <c r="I40" s="27">
        <f ca="1">MIN(G40,$I$1)</f>
        <v>0.0</v>
      </c>
    </row>
    <row r="41" spans="1:9" x14ac:dyDescent="0.3">
      <c r="A41" s="24">
        <v>2024</v>
      </c>
      <c r="B41" s="24" cm="1" t="str">
        <f t="array" aca="1" ref="B41" ca="1">INDIRECT("'Params'!A" &amp; (QUOTIENT(ROW(A41)-4, 10) + 1))</f>
        <v>DBENR</v>
      </c>
      <c r="C41" s="25">
        <f ca="1">SUMIFS(Inputs!$F$2:$F$201,Inputs!$A$2:$A$201,$A41,Inputs!$B$2:$B$201,$B41)+SUMIFS(Inputs!$D$2:$D$201,Inputs!$A$2:$A$201,$A41,Inputs!$B$2:$B$201,$B41)+SUMIFS(Inputs!$G$2:$G$201,Inputs!$A$2:$A$201,$A41,Inputs!$B$2:$B$201,$B41)*+SUMIFS(Inputs!$X$2:$X$201,Inputs!$W$2:$W$201,$A41,Inputs!$V$2:$V$201,$B41)</f>
        <v>0.0</v>
      </c>
      <c r="D41" s="26">
        <f ca="1">IFERROR(SUMIFS(Inputs!$G$2:$G$201,Inputs!$A$2:$A$201,$A41,Inputs!$B$2:$B$201,$B41)/SUMIFS(Inputs!$C$2:$C$201,Inputs!$A$2:$A$201,$A41,Inputs!$B$2:$B$201,$B41),0)</f>
        <v>0.0</v>
      </c>
      <c r="E41" s="25">
        <f ca="1">SUMIFS(Inputs!$F$2:$F$201,Inputs!$A$2:$A$201,$A41,Inputs!$B$2:$B$201,$B41)+SUMIFS(Inputs!$D$2:$D$201,Inputs!$A$2:$A$201,$A41,Inputs!$B$2:$B$201,$B41)+SUMIFS(Inputs!$H$2:$H$201,Inputs!$A$2:$A$201,$A41,Inputs!$B$2:$B$201,$B41)*+SUMIFS(Inputs!$X$2:$X$201,Inputs!$W$2:$W$201,$A41,Inputs!$V$2:$V$201,$B41)</f>
        <v>0.0</v>
      </c>
      <c r="F41" s="26">
        <f ca="1">IFERROR(SUMIFS(Inputs!$H$2:$H$201,Inputs!$A$2:$A$201,$A41,Inputs!$B$2:$B$201,$B41)/SUMIFS(Inputs!$C$2:$C$201,Inputs!$A$2:$A$201,$A41,Inputs!$B$2:$B$201,$B41),0)</f>
        <v>0.0</v>
      </c>
      <c r="G41" s="27">
        <f ca="1">D41*SUMIFS(Inputs!$R$2:$R$23,Inputs!$P$2:$P$23,$B41)/SUMIFS(Inputs!$Q$2:$Q$23,Inputs!$P$2:$P$23,$B41)</f>
        <v>0.0</v>
      </c>
      <c r="H41" s="27">
        <f ca="1">MAX(G41,$H$1)</f>
        <v>0.0</v>
      </c>
      <c r="I41" s="27">
        <f ca="1">MIN(G41,$I$1)</f>
        <v>0.0</v>
      </c>
    </row>
    <row r="42" spans="1:9" x14ac:dyDescent="0.3">
      <c r="A42" s="24">
        <v>2025</v>
      </c>
      <c r="B42" s="24" cm="1" t="str">
        <f t="array" aca="1" ref="B42" ca="1">INDIRECT("'Params'!A" &amp; (QUOTIENT(ROW(A42)-4, 10) + 1))</f>
        <v>DBENR</v>
      </c>
      <c r="C42" s="25">
        <f ca="1">SUMIFS(Inputs!$F$2:$F$201,Inputs!$A$2:$A$201,$A42,Inputs!$B$2:$B$201,$B42)+SUMIFS(Inputs!$D$2:$D$201,Inputs!$A$2:$A$201,$A42,Inputs!$B$2:$B$201,$B42)+SUMIFS(Inputs!$G$2:$G$201,Inputs!$A$2:$A$201,$A42,Inputs!$B$2:$B$201,$B42)*+SUMIFS(Inputs!$X$2:$X$201,Inputs!$W$2:$W$201,$A42,Inputs!$V$2:$V$201,$B42)</f>
        <v>35283.378260593745</v>
      </c>
      <c r="D42" s="26">
        <f ca="1">IFERROR(SUMIFS(Inputs!$G$2:$G$201,Inputs!$A$2:$A$201,$A42,Inputs!$B$2:$B$201,$B42)/SUMIFS(Inputs!$C$2:$C$201,Inputs!$A$2:$A$201,$A42,Inputs!$B$2:$B$201,$B42),0)</f>
        <v>0.55</v>
      </c>
      <c r="E42" s="25">
        <f ca="1">SUMIFS(Inputs!$F$2:$F$201,Inputs!$A$2:$A$201,$A42,Inputs!$B$2:$B$201,$B42)+SUMIFS(Inputs!$D$2:$D$201,Inputs!$A$2:$A$201,$A42,Inputs!$B$2:$B$201,$B42)+SUMIFS(Inputs!$H$2:$H$201,Inputs!$A$2:$A$201,$A42,Inputs!$B$2:$B$201,$B42)*+SUMIFS(Inputs!$X$2:$X$201,Inputs!$W$2:$W$201,$A42,Inputs!$V$2:$V$201,$B42)</f>
        <v>43384.282596802426</v>
      </c>
      <c r="F42" s="26">
        <f ca="1">IFERROR(SUMIFS(Inputs!$H$2:$H$201,Inputs!$A$2:$A$201,$A42,Inputs!$B$2:$B$201,$B42)/SUMIFS(Inputs!$C$2:$C$201,Inputs!$A$2:$A$201,$A42,Inputs!$B$2:$B$201,$B42),0)</f>
        <v>0.6762775166257508</v>
      </c>
      <c r="G42" s="27">
        <f ca="1">D42*SUMIFS(Inputs!$R$2:$R$23,Inputs!$P$2:$P$23,$B42)/SUMIFS(Inputs!$Q$2:$Q$23,Inputs!$P$2:$P$23,$B42)</f>
        <v>0.587214652940763</v>
      </c>
      <c r="H42" s="27">
        <f ca="1">MAX(G42,$H$1)</f>
        <v>0.587214652940763</v>
      </c>
      <c r="I42" s="27">
        <f ca="1">MIN(G42,$I$1)</f>
        <v>0.587214652940763</v>
      </c>
    </row>
    <row r="43" spans="1:9" x14ac:dyDescent="0.3">
      <c r="A43" s="24">
        <v>2026</v>
      </c>
      <c r="B43" s="24" cm="1" t="str">
        <f t="array" aca="1" ref="B43" ca="1">INDIRECT("'Params'!A" &amp; (QUOTIENT(ROW(A43)-4, 10) + 1))</f>
        <v>DBENR</v>
      </c>
      <c r="C43" s="25">
        <f ca="1">SUMIFS(Inputs!$F$2:$F$201,Inputs!$A$2:$A$201,$A43,Inputs!$B$2:$B$201,$B43)+SUMIFS(Inputs!$D$2:$D$201,Inputs!$A$2:$A$201,$A43,Inputs!$B$2:$B$201,$B43)+SUMIFS(Inputs!$G$2:$G$201,Inputs!$A$2:$A$201,$A43,Inputs!$B$2:$B$201,$B43)*+SUMIFS(Inputs!$X$2:$X$201,Inputs!$W$2:$W$201,$A43,Inputs!$V$2:$V$201,$B43)</f>
        <v>1557741.9639071706</v>
      </c>
      <c r="D43" s="26">
        <f ca="1">IFERROR(SUMIFS(Inputs!$G$2:$G$201,Inputs!$A$2:$A$201,$A43,Inputs!$B$2:$B$201,$B43)/SUMIFS(Inputs!$C$2:$C$201,Inputs!$A$2:$A$201,$A43,Inputs!$B$2:$B$201,$B43),0)</f>
        <v>0.55</v>
      </c>
      <c r="E43" s="25">
        <f ca="1">SUMIFS(Inputs!$F$2:$F$201,Inputs!$A$2:$A$201,$A43,Inputs!$B$2:$B$201,$B43)+SUMIFS(Inputs!$D$2:$D$201,Inputs!$A$2:$A$201,$A43,Inputs!$B$2:$B$201,$B43)+SUMIFS(Inputs!$H$2:$H$201,Inputs!$A$2:$A$201,$A43,Inputs!$B$2:$B$201,$B43)*+SUMIFS(Inputs!$X$2:$X$201,Inputs!$W$2:$W$201,$A43,Inputs!$V$2:$V$201,$B43)</f>
        <v>1936946.9751356023</v>
      </c>
      <c r="F43" s="26">
        <f ca="1">IFERROR(SUMIFS(Inputs!$H$2:$H$201,Inputs!$A$2:$A$201,$A43,Inputs!$B$2:$B$201,$B43)/SUMIFS(Inputs!$C$2:$C$201,Inputs!$A$2:$A$201,$A43,Inputs!$B$2:$B$201,$B43),0)</f>
        <v>0.6838878716809521</v>
      </c>
      <c r="G43" s="27">
        <f ca="1">D43*SUMIFS(Inputs!$R$2:$R$23,Inputs!$P$2:$P$23,$B43)/SUMIFS(Inputs!$Q$2:$Q$23,Inputs!$P$2:$P$23,$B43)</f>
        <v>0.587214652940763</v>
      </c>
      <c r="H43" s="27">
        <f ca="1">MAX(G43,$H$1)</f>
        <v>0.587214652940763</v>
      </c>
      <c r="I43" s="27">
        <f ca="1">MIN(G43,$I$1)</f>
        <v>0.587214652940763</v>
      </c>
    </row>
    <row r="44" spans="1:9" x14ac:dyDescent="0.3">
      <c r="A44" s="24">
        <v>2017</v>
      </c>
      <c r="B44" s="24" cm="1" t="str">
        <f t="array" aca="1" ref="B44" ca="1">INDIRECT("'Params'!A" &amp; (QUOTIENT(ROW(A44)-4, 10) + 1))</f>
        <v>DBLIF</v>
      </c>
      <c r="C44" s="25">
        <f ca="1">SUMIFS(Inputs!$F$2:$F$201,Inputs!$A$2:$A$201,$A44,Inputs!$B$2:$B$201,$B44)+SUMIFS(Inputs!$D$2:$D$201,Inputs!$A$2:$A$201,$A44,Inputs!$B$2:$B$201,$B44)+SUMIFS(Inputs!$G$2:$G$201,Inputs!$A$2:$A$201,$A44,Inputs!$B$2:$B$201,$B44)*+SUMIFS(Inputs!$X$2:$X$201,Inputs!$W$2:$W$201,$A44,Inputs!$V$2:$V$201,$B44)</f>
        <v>0.0</v>
      </c>
      <c r="D44" s="26">
        <f ca="1">IFERROR(SUMIFS(Inputs!$G$2:$G$201,Inputs!$A$2:$A$201,$A44,Inputs!$B$2:$B$201,$B44)/SUMIFS(Inputs!$C$2:$C$201,Inputs!$A$2:$A$201,$A44,Inputs!$B$2:$B$201,$B44),0)</f>
        <v>0.0</v>
      </c>
      <c r="E44" s="25">
        <f ca="1">SUMIFS(Inputs!$F$2:$F$201,Inputs!$A$2:$A$201,$A44,Inputs!$B$2:$B$201,$B44)+SUMIFS(Inputs!$D$2:$D$201,Inputs!$A$2:$A$201,$A44,Inputs!$B$2:$B$201,$B44)+SUMIFS(Inputs!$H$2:$H$201,Inputs!$A$2:$A$201,$A44,Inputs!$B$2:$B$201,$B44)*+SUMIFS(Inputs!$X$2:$X$201,Inputs!$W$2:$W$201,$A44,Inputs!$V$2:$V$201,$B44)</f>
        <v>0.0</v>
      </c>
      <c r="F44" s="26">
        <f ca="1">IFERROR(SUMIFS(Inputs!$H$2:$H$201,Inputs!$A$2:$A$201,$A44,Inputs!$B$2:$B$201,$B44)/SUMIFS(Inputs!$C$2:$C$201,Inputs!$A$2:$A$201,$A44,Inputs!$B$2:$B$201,$B44),0)</f>
        <v>0.0</v>
      </c>
      <c r="G44" s="27">
        <f ca="1">D44*SUMIFS(Inputs!$R$2:$R$23,Inputs!$P$2:$P$23,$B44)/SUMIFS(Inputs!$Q$2:$Q$23,Inputs!$P$2:$P$23,$B44)</f>
        <v>0.0</v>
      </c>
      <c r="H44" s="27">
        <f ca="1">MAX(G44,$H$1)</f>
        <v>0.0</v>
      </c>
      <c r="I44" s="27">
        <f ca="1">MIN(G44,$I$1)</f>
        <v>0.0</v>
      </c>
    </row>
    <row r="45" spans="1:9" x14ac:dyDescent="0.3">
      <c r="A45" s="24">
        <v>2018</v>
      </c>
      <c r="B45" s="24" cm="1" t="str">
        <f t="array" aca="1" ref="B45" ca="1">INDIRECT("'Params'!A" &amp; (QUOTIENT(ROW(A45)-4, 10) + 1))</f>
        <v>DBLIF</v>
      </c>
      <c r="C45" s="25">
        <f ca="1">SUMIFS(Inputs!$F$2:$F$201,Inputs!$A$2:$A$201,$A45,Inputs!$B$2:$B$201,$B45)+SUMIFS(Inputs!$D$2:$D$201,Inputs!$A$2:$A$201,$A45,Inputs!$B$2:$B$201,$B45)+SUMIFS(Inputs!$G$2:$G$201,Inputs!$A$2:$A$201,$A45,Inputs!$B$2:$B$201,$B45)*+SUMIFS(Inputs!$X$2:$X$201,Inputs!$W$2:$W$201,$A45,Inputs!$V$2:$V$201,$B45)</f>
        <v>0.0</v>
      </c>
      <c r="D45" s="26">
        <f ca="1">IFERROR(SUMIFS(Inputs!$G$2:$G$201,Inputs!$A$2:$A$201,$A45,Inputs!$B$2:$B$201,$B45)/SUMIFS(Inputs!$C$2:$C$201,Inputs!$A$2:$A$201,$A45,Inputs!$B$2:$B$201,$B45),0)</f>
        <v>0.0</v>
      </c>
      <c r="E45" s="25">
        <f ca="1">SUMIFS(Inputs!$F$2:$F$201,Inputs!$A$2:$A$201,$A45,Inputs!$B$2:$B$201,$B45)+SUMIFS(Inputs!$D$2:$D$201,Inputs!$A$2:$A$201,$A45,Inputs!$B$2:$B$201,$B45)+SUMIFS(Inputs!$H$2:$H$201,Inputs!$A$2:$A$201,$A45,Inputs!$B$2:$B$201,$B45)*+SUMIFS(Inputs!$X$2:$X$201,Inputs!$W$2:$W$201,$A45,Inputs!$V$2:$V$201,$B45)</f>
        <v>0.0</v>
      </c>
      <c r="F45" s="26">
        <f ca="1">IFERROR(SUMIFS(Inputs!$H$2:$H$201,Inputs!$A$2:$A$201,$A45,Inputs!$B$2:$B$201,$B45)/SUMIFS(Inputs!$C$2:$C$201,Inputs!$A$2:$A$201,$A45,Inputs!$B$2:$B$201,$B45),0)</f>
        <v>0.0</v>
      </c>
      <c r="G45" s="27">
        <f ca="1">D45*SUMIFS(Inputs!$R$2:$R$23,Inputs!$P$2:$P$23,$B45)/SUMIFS(Inputs!$Q$2:$Q$23,Inputs!$P$2:$P$23,$B45)</f>
        <v>0.0</v>
      </c>
      <c r="H45" s="27">
        <f ca="1">MAX(G45,$H$1)</f>
        <v>0.0</v>
      </c>
      <c r="I45" s="27">
        <f ca="1">MIN(G45,$I$1)</f>
        <v>0.0</v>
      </c>
    </row>
    <row r="46" spans="1:9" x14ac:dyDescent="0.3">
      <c r="A46" s="24">
        <v>2019</v>
      </c>
      <c r="B46" s="24" cm="1" t="str">
        <f t="array" aca="1" ref="B46" ca="1">INDIRECT("'Params'!A" &amp; (QUOTIENT(ROW(A46)-4, 10) + 1))</f>
        <v>DBLIF</v>
      </c>
      <c r="C46" s="25">
        <f ca="1">SUMIFS(Inputs!$F$2:$F$201,Inputs!$A$2:$A$201,$A46,Inputs!$B$2:$B$201,$B46)+SUMIFS(Inputs!$D$2:$D$201,Inputs!$A$2:$A$201,$A46,Inputs!$B$2:$B$201,$B46)+SUMIFS(Inputs!$G$2:$G$201,Inputs!$A$2:$A$201,$A46,Inputs!$B$2:$B$201,$B46)*+SUMIFS(Inputs!$X$2:$X$201,Inputs!$W$2:$W$201,$A46,Inputs!$V$2:$V$201,$B46)</f>
        <v>0.0</v>
      </c>
      <c r="D46" s="26">
        <f ca="1">IFERROR(SUMIFS(Inputs!$G$2:$G$201,Inputs!$A$2:$A$201,$A46,Inputs!$B$2:$B$201,$B46)/SUMIFS(Inputs!$C$2:$C$201,Inputs!$A$2:$A$201,$A46,Inputs!$B$2:$B$201,$B46),0)</f>
        <v>0.0</v>
      </c>
      <c r="E46" s="25">
        <f ca="1">SUMIFS(Inputs!$F$2:$F$201,Inputs!$A$2:$A$201,$A46,Inputs!$B$2:$B$201,$B46)+SUMIFS(Inputs!$D$2:$D$201,Inputs!$A$2:$A$201,$A46,Inputs!$B$2:$B$201,$B46)+SUMIFS(Inputs!$H$2:$H$201,Inputs!$A$2:$A$201,$A46,Inputs!$B$2:$B$201,$B46)*+SUMIFS(Inputs!$X$2:$X$201,Inputs!$W$2:$W$201,$A46,Inputs!$V$2:$V$201,$B46)</f>
        <v>0.0</v>
      </c>
      <c r="F46" s="26">
        <f ca="1">IFERROR(SUMIFS(Inputs!$H$2:$H$201,Inputs!$A$2:$A$201,$A46,Inputs!$B$2:$B$201,$B46)/SUMIFS(Inputs!$C$2:$C$201,Inputs!$A$2:$A$201,$A46,Inputs!$B$2:$B$201,$B46),0)</f>
        <v>0.0</v>
      </c>
      <c r="G46" s="27">
        <f ca="1">D46*SUMIFS(Inputs!$R$2:$R$23,Inputs!$P$2:$P$23,$B46)/SUMIFS(Inputs!$Q$2:$Q$23,Inputs!$P$2:$P$23,$B46)</f>
        <v>0.0</v>
      </c>
      <c r="H46" s="27">
        <f ca="1">MAX(G46,$H$1)</f>
        <v>0.0</v>
      </c>
      <c r="I46" s="27">
        <f ca="1">MIN(G46,$I$1)</f>
        <v>0.0</v>
      </c>
    </row>
    <row r="47" spans="1:9" x14ac:dyDescent="0.3">
      <c r="A47" s="24">
        <v>2020</v>
      </c>
      <c r="B47" s="24" cm="1" t="str">
        <f t="array" aca="1" ref="B47" ca="1">INDIRECT("'Params'!A" &amp; (QUOTIENT(ROW(A47)-4, 10) + 1))</f>
        <v>DBLIF</v>
      </c>
      <c r="C47" s="25">
        <f ca="1">SUMIFS(Inputs!$F$2:$F$201,Inputs!$A$2:$A$201,$A47,Inputs!$B$2:$B$201,$B47)+SUMIFS(Inputs!$D$2:$D$201,Inputs!$A$2:$A$201,$A47,Inputs!$B$2:$B$201,$B47)+SUMIFS(Inputs!$G$2:$G$201,Inputs!$A$2:$A$201,$A47,Inputs!$B$2:$B$201,$B47)*+SUMIFS(Inputs!$X$2:$X$201,Inputs!$W$2:$W$201,$A47,Inputs!$V$2:$V$201,$B47)</f>
        <v>0.0</v>
      </c>
      <c r="D47" s="26">
        <f ca="1">IFERROR(SUMIFS(Inputs!$G$2:$G$201,Inputs!$A$2:$A$201,$A47,Inputs!$B$2:$B$201,$B47)/SUMIFS(Inputs!$C$2:$C$201,Inputs!$A$2:$A$201,$A47,Inputs!$B$2:$B$201,$B47),0)</f>
        <v>0.0</v>
      </c>
      <c r="E47" s="25">
        <f ca="1">SUMIFS(Inputs!$F$2:$F$201,Inputs!$A$2:$A$201,$A47,Inputs!$B$2:$B$201,$B47)+SUMIFS(Inputs!$D$2:$D$201,Inputs!$A$2:$A$201,$A47,Inputs!$B$2:$B$201,$B47)+SUMIFS(Inputs!$H$2:$H$201,Inputs!$A$2:$A$201,$A47,Inputs!$B$2:$B$201,$B47)*+SUMIFS(Inputs!$X$2:$X$201,Inputs!$W$2:$W$201,$A47,Inputs!$V$2:$V$201,$B47)</f>
        <v>0.0</v>
      </c>
      <c r="F47" s="26">
        <f ca="1">IFERROR(SUMIFS(Inputs!$H$2:$H$201,Inputs!$A$2:$A$201,$A47,Inputs!$B$2:$B$201,$B47)/SUMIFS(Inputs!$C$2:$C$201,Inputs!$A$2:$A$201,$A47,Inputs!$B$2:$B$201,$B47),0)</f>
        <v>0.0</v>
      </c>
      <c r="G47" s="27">
        <f ca="1">D47*SUMIFS(Inputs!$R$2:$R$23,Inputs!$P$2:$P$23,$B47)/SUMIFS(Inputs!$Q$2:$Q$23,Inputs!$P$2:$P$23,$B47)</f>
        <v>0.0</v>
      </c>
      <c r="H47" s="27">
        <f ca="1">MAX(G47,$H$1)</f>
        <v>0.0</v>
      </c>
      <c r="I47" s="27">
        <f ca="1">MIN(G47,$I$1)</f>
        <v>0.0</v>
      </c>
    </row>
    <row r="48" spans="1:9" x14ac:dyDescent="0.3">
      <c r="A48" s="24">
        <v>2021</v>
      </c>
      <c r="B48" s="24" cm="1" t="str">
        <f t="array" aca="1" ref="B48" ca="1">INDIRECT("'Params'!A" &amp; (QUOTIENT(ROW(A48)-4, 10) + 1))</f>
        <v>DBLIF</v>
      </c>
      <c r="C48" s="25">
        <f ca="1">SUMIFS(Inputs!$F$2:$F$201,Inputs!$A$2:$A$201,$A48,Inputs!$B$2:$B$201,$B48)+SUMIFS(Inputs!$D$2:$D$201,Inputs!$A$2:$A$201,$A48,Inputs!$B$2:$B$201,$B48)+SUMIFS(Inputs!$G$2:$G$201,Inputs!$A$2:$A$201,$A48,Inputs!$B$2:$B$201,$B48)*+SUMIFS(Inputs!$X$2:$X$201,Inputs!$W$2:$W$201,$A48,Inputs!$V$2:$V$201,$B48)</f>
        <v>0.0</v>
      </c>
      <c r="D48" s="26">
        <f ca="1">IFERROR(SUMIFS(Inputs!$G$2:$G$201,Inputs!$A$2:$A$201,$A48,Inputs!$B$2:$B$201,$B48)/SUMIFS(Inputs!$C$2:$C$201,Inputs!$A$2:$A$201,$A48,Inputs!$B$2:$B$201,$B48),0)</f>
        <v>0.0</v>
      </c>
      <c r="E48" s="25">
        <f ca="1">SUMIFS(Inputs!$F$2:$F$201,Inputs!$A$2:$A$201,$A48,Inputs!$B$2:$B$201,$B48)+SUMIFS(Inputs!$D$2:$D$201,Inputs!$A$2:$A$201,$A48,Inputs!$B$2:$B$201,$B48)+SUMIFS(Inputs!$H$2:$H$201,Inputs!$A$2:$A$201,$A48,Inputs!$B$2:$B$201,$B48)*+SUMIFS(Inputs!$X$2:$X$201,Inputs!$W$2:$W$201,$A48,Inputs!$V$2:$V$201,$B48)</f>
        <v>0.0</v>
      </c>
      <c r="F48" s="26">
        <f ca="1">IFERROR(SUMIFS(Inputs!$H$2:$H$201,Inputs!$A$2:$A$201,$A48,Inputs!$B$2:$B$201,$B48)/SUMIFS(Inputs!$C$2:$C$201,Inputs!$A$2:$A$201,$A48,Inputs!$B$2:$B$201,$B48),0)</f>
        <v>0.0</v>
      </c>
      <c r="G48" s="27">
        <f ca="1">D48*SUMIFS(Inputs!$R$2:$R$23,Inputs!$P$2:$P$23,$B48)/SUMIFS(Inputs!$Q$2:$Q$23,Inputs!$P$2:$P$23,$B48)</f>
        <v>0.0</v>
      </c>
      <c r="H48" s="27">
        <f ca="1">MAX(G48,$H$1)</f>
        <v>0.0</v>
      </c>
      <c r="I48" s="27">
        <f ca="1">MIN(G48,$I$1)</f>
        <v>0.0</v>
      </c>
    </row>
    <row r="49" spans="1:9" x14ac:dyDescent="0.3">
      <c r="A49" s="24">
        <v>2022</v>
      </c>
      <c r="B49" s="24" cm="1" t="str">
        <f t="array" aca="1" ref="B49" ca="1">INDIRECT("'Params'!A" &amp; (QUOTIENT(ROW(A49)-4, 10) + 1))</f>
        <v>DBLIF</v>
      </c>
      <c r="C49" s="25">
        <f ca="1">SUMIFS(Inputs!$F$2:$F$201,Inputs!$A$2:$A$201,$A49,Inputs!$B$2:$B$201,$B49)+SUMIFS(Inputs!$D$2:$D$201,Inputs!$A$2:$A$201,$A49,Inputs!$B$2:$B$201,$B49)+SUMIFS(Inputs!$G$2:$G$201,Inputs!$A$2:$A$201,$A49,Inputs!$B$2:$B$201,$B49)*+SUMIFS(Inputs!$X$2:$X$201,Inputs!$W$2:$W$201,$A49,Inputs!$V$2:$V$201,$B49)</f>
        <v>0.0</v>
      </c>
      <c r="D49" s="26">
        <f ca="1">IFERROR(SUMIFS(Inputs!$G$2:$G$201,Inputs!$A$2:$A$201,$A49,Inputs!$B$2:$B$201,$B49)/SUMIFS(Inputs!$C$2:$C$201,Inputs!$A$2:$A$201,$A49,Inputs!$B$2:$B$201,$B49),0)</f>
        <v>0.0</v>
      </c>
      <c r="E49" s="25">
        <f ca="1">SUMIFS(Inputs!$F$2:$F$201,Inputs!$A$2:$A$201,$A49,Inputs!$B$2:$B$201,$B49)+SUMIFS(Inputs!$D$2:$D$201,Inputs!$A$2:$A$201,$A49,Inputs!$B$2:$B$201,$B49)+SUMIFS(Inputs!$H$2:$H$201,Inputs!$A$2:$A$201,$A49,Inputs!$B$2:$B$201,$B49)*+SUMIFS(Inputs!$X$2:$X$201,Inputs!$W$2:$W$201,$A49,Inputs!$V$2:$V$201,$B49)</f>
        <v>0.0</v>
      </c>
      <c r="F49" s="26">
        <f ca="1">IFERROR(SUMIFS(Inputs!$H$2:$H$201,Inputs!$A$2:$A$201,$A49,Inputs!$B$2:$B$201,$B49)/SUMIFS(Inputs!$C$2:$C$201,Inputs!$A$2:$A$201,$A49,Inputs!$B$2:$B$201,$B49),0)</f>
        <v>0.0</v>
      </c>
      <c r="G49" s="27">
        <f ca="1">D49*SUMIFS(Inputs!$R$2:$R$23,Inputs!$P$2:$P$23,$B49)/SUMIFS(Inputs!$Q$2:$Q$23,Inputs!$P$2:$P$23,$B49)</f>
        <v>0.0</v>
      </c>
      <c r="H49" s="27">
        <f ca="1">MAX(G49,$H$1)</f>
        <v>0.0</v>
      </c>
      <c r="I49" s="27">
        <f ca="1">MIN(G49,$I$1)</f>
        <v>0.0</v>
      </c>
    </row>
    <row r="50" spans="1:9" x14ac:dyDescent="0.3">
      <c r="A50" s="24">
        <v>2023</v>
      </c>
      <c r="B50" s="24" cm="1" t="str">
        <f t="array" aca="1" ref="B50" ca="1">INDIRECT("'Params'!A" &amp; (QUOTIENT(ROW(A50)-4, 10) + 1))</f>
        <v>DBLIF</v>
      </c>
      <c r="C50" s="25">
        <f ca="1">SUMIFS(Inputs!$F$2:$F$201,Inputs!$A$2:$A$201,$A50,Inputs!$B$2:$B$201,$B50)+SUMIFS(Inputs!$D$2:$D$201,Inputs!$A$2:$A$201,$A50,Inputs!$B$2:$B$201,$B50)+SUMIFS(Inputs!$G$2:$G$201,Inputs!$A$2:$A$201,$A50,Inputs!$B$2:$B$201,$B50)*+SUMIFS(Inputs!$X$2:$X$201,Inputs!$W$2:$W$201,$A50,Inputs!$V$2:$V$201,$B50)</f>
        <v>0.0</v>
      </c>
      <c r="D50" s="26">
        <f ca="1">IFERROR(SUMIFS(Inputs!$G$2:$G$201,Inputs!$A$2:$A$201,$A50,Inputs!$B$2:$B$201,$B50)/SUMIFS(Inputs!$C$2:$C$201,Inputs!$A$2:$A$201,$A50,Inputs!$B$2:$B$201,$B50),0)</f>
        <v>0.0</v>
      </c>
      <c r="E50" s="25">
        <f ca="1">SUMIFS(Inputs!$F$2:$F$201,Inputs!$A$2:$A$201,$A50,Inputs!$B$2:$B$201,$B50)+SUMIFS(Inputs!$D$2:$D$201,Inputs!$A$2:$A$201,$A50,Inputs!$B$2:$B$201,$B50)+SUMIFS(Inputs!$H$2:$H$201,Inputs!$A$2:$A$201,$A50,Inputs!$B$2:$B$201,$B50)*+SUMIFS(Inputs!$X$2:$X$201,Inputs!$W$2:$W$201,$A50,Inputs!$V$2:$V$201,$B50)</f>
        <v>0.0</v>
      </c>
      <c r="F50" s="26">
        <f ca="1">IFERROR(SUMIFS(Inputs!$H$2:$H$201,Inputs!$A$2:$A$201,$A50,Inputs!$B$2:$B$201,$B50)/SUMIFS(Inputs!$C$2:$C$201,Inputs!$A$2:$A$201,$A50,Inputs!$B$2:$B$201,$B50),0)</f>
        <v>0.0</v>
      </c>
      <c r="G50" s="27">
        <f ca="1">D50*SUMIFS(Inputs!$R$2:$R$23,Inputs!$P$2:$P$23,$B50)/SUMIFS(Inputs!$Q$2:$Q$23,Inputs!$P$2:$P$23,$B50)</f>
        <v>0.0</v>
      </c>
      <c r="H50" s="27">
        <f ca="1">MAX(G50,$H$1)</f>
        <v>0.0</v>
      </c>
      <c r="I50" s="27">
        <f ca="1">MIN(G50,$I$1)</f>
        <v>0.0</v>
      </c>
    </row>
    <row r="51" spans="1:9" x14ac:dyDescent="0.3">
      <c r="A51" s="24">
        <v>2024</v>
      </c>
      <c r="B51" s="24" cm="1" t="str">
        <f t="array" aca="1" ref="B51" ca="1">INDIRECT("'Params'!A" &amp; (QUOTIENT(ROW(A51)-4, 10) + 1))</f>
        <v>DBLIF</v>
      </c>
      <c r="C51" s="25">
        <f ca="1">SUMIFS(Inputs!$F$2:$F$201,Inputs!$A$2:$A$201,$A51,Inputs!$B$2:$B$201,$B51)+SUMIFS(Inputs!$D$2:$D$201,Inputs!$A$2:$A$201,$A51,Inputs!$B$2:$B$201,$B51)+SUMIFS(Inputs!$G$2:$G$201,Inputs!$A$2:$A$201,$A51,Inputs!$B$2:$B$201,$B51)*+SUMIFS(Inputs!$X$2:$X$201,Inputs!$W$2:$W$201,$A51,Inputs!$V$2:$V$201,$B51)</f>
        <v>0.0</v>
      </c>
      <c r="D51" s="26">
        <f ca="1">IFERROR(SUMIFS(Inputs!$G$2:$G$201,Inputs!$A$2:$A$201,$A51,Inputs!$B$2:$B$201,$B51)/SUMIFS(Inputs!$C$2:$C$201,Inputs!$A$2:$A$201,$A51,Inputs!$B$2:$B$201,$B51),0)</f>
        <v>0.0</v>
      </c>
      <c r="E51" s="25">
        <f ca="1">SUMIFS(Inputs!$F$2:$F$201,Inputs!$A$2:$A$201,$A51,Inputs!$B$2:$B$201,$B51)+SUMIFS(Inputs!$D$2:$D$201,Inputs!$A$2:$A$201,$A51,Inputs!$B$2:$B$201,$B51)+SUMIFS(Inputs!$H$2:$H$201,Inputs!$A$2:$A$201,$A51,Inputs!$B$2:$B$201,$B51)*+SUMIFS(Inputs!$X$2:$X$201,Inputs!$W$2:$W$201,$A51,Inputs!$V$2:$V$201,$B51)</f>
        <v>0.0</v>
      </c>
      <c r="F51" s="26">
        <f ca="1">IFERROR(SUMIFS(Inputs!$H$2:$H$201,Inputs!$A$2:$A$201,$A51,Inputs!$B$2:$B$201,$B51)/SUMIFS(Inputs!$C$2:$C$201,Inputs!$A$2:$A$201,$A51,Inputs!$B$2:$B$201,$B51),0)</f>
        <v>0.0</v>
      </c>
      <c r="G51" s="27">
        <f ca="1">D51*SUMIFS(Inputs!$R$2:$R$23,Inputs!$P$2:$P$23,$B51)/SUMIFS(Inputs!$Q$2:$Q$23,Inputs!$P$2:$P$23,$B51)</f>
        <v>0.0</v>
      </c>
      <c r="H51" s="27">
        <f ca="1">MAX(G51,$H$1)</f>
        <v>0.0</v>
      </c>
      <c r="I51" s="27">
        <f ca="1">MIN(G51,$I$1)</f>
        <v>0.0</v>
      </c>
    </row>
    <row r="52" spans="1:9" x14ac:dyDescent="0.3">
      <c r="A52" s="24">
        <v>2025</v>
      </c>
      <c r="B52" s="24" cm="1" t="str">
        <f t="array" aca="1" ref="B52" ca="1">INDIRECT("'Params'!A" &amp; (QUOTIENT(ROW(A52)-4, 10) + 1))</f>
        <v>DBLIF</v>
      </c>
      <c r="C52" s="25">
        <f ca="1">SUMIFS(Inputs!$F$2:$F$201,Inputs!$A$2:$A$201,$A52,Inputs!$B$2:$B$201,$B52)+SUMIFS(Inputs!$D$2:$D$201,Inputs!$A$2:$A$201,$A52,Inputs!$B$2:$B$201,$B52)+SUMIFS(Inputs!$G$2:$G$201,Inputs!$A$2:$A$201,$A52,Inputs!$B$2:$B$201,$B52)*+SUMIFS(Inputs!$X$2:$X$201,Inputs!$W$2:$W$201,$A52,Inputs!$V$2:$V$201,$B52)</f>
        <v>0.0</v>
      </c>
      <c r="D52" s="26">
        <f ca="1">IFERROR(SUMIFS(Inputs!$G$2:$G$201,Inputs!$A$2:$A$201,$A52,Inputs!$B$2:$B$201,$B52)/SUMIFS(Inputs!$C$2:$C$201,Inputs!$A$2:$A$201,$A52,Inputs!$B$2:$B$201,$B52),0)</f>
        <v>0.0</v>
      </c>
      <c r="E52" s="25">
        <f ca="1">SUMIFS(Inputs!$F$2:$F$201,Inputs!$A$2:$A$201,$A52,Inputs!$B$2:$B$201,$B52)+SUMIFS(Inputs!$D$2:$D$201,Inputs!$A$2:$A$201,$A52,Inputs!$B$2:$B$201,$B52)+SUMIFS(Inputs!$H$2:$H$201,Inputs!$A$2:$A$201,$A52,Inputs!$B$2:$B$201,$B52)*+SUMIFS(Inputs!$X$2:$X$201,Inputs!$W$2:$W$201,$A52,Inputs!$V$2:$V$201,$B52)</f>
        <v>0.0</v>
      </c>
      <c r="F52" s="26">
        <f ca="1">IFERROR(SUMIFS(Inputs!$H$2:$H$201,Inputs!$A$2:$A$201,$A52,Inputs!$B$2:$B$201,$B52)/SUMIFS(Inputs!$C$2:$C$201,Inputs!$A$2:$A$201,$A52,Inputs!$B$2:$B$201,$B52),0)</f>
        <v>0.0</v>
      </c>
      <c r="G52" s="27">
        <f ca="1">D52*SUMIFS(Inputs!$R$2:$R$23,Inputs!$P$2:$P$23,$B52)/SUMIFS(Inputs!$Q$2:$Q$23,Inputs!$P$2:$P$23,$B52)</f>
        <v>0.0</v>
      </c>
      <c r="H52" s="27">
        <f ca="1">MAX(G52,$H$1)</f>
        <v>0.0</v>
      </c>
      <c r="I52" s="27">
        <f ca="1">MIN(G52,$I$1)</f>
        <v>0.0</v>
      </c>
    </row>
    <row r="53" spans="1:9" x14ac:dyDescent="0.3">
      <c r="A53" s="24">
        <v>2026</v>
      </c>
      <c r="B53" s="24" cm="1" t="str">
        <f t="array" aca="1" ref="B53" ca="1">INDIRECT("'Params'!A" &amp; (QUOTIENT(ROW(A53)-4, 10) + 1))</f>
        <v>DBLIF</v>
      </c>
      <c r="C53" s="25">
        <f ca="1">SUMIFS(Inputs!$F$2:$F$201,Inputs!$A$2:$A$201,$A53,Inputs!$B$2:$B$201,$B53)+SUMIFS(Inputs!$D$2:$D$201,Inputs!$A$2:$A$201,$A53,Inputs!$B$2:$B$201,$B53)+SUMIFS(Inputs!$G$2:$G$201,Inputs!$A$2:$A$201,$A53,Inputs!$B$2:$B$201,$B53)*+SUMIFS(Inputs!$X$2:$X$201,Inputs!$W$2:$W$201,$A53,Inputs!$V$2:$V$201,$B53)</f>
        <v>422412.9411844659</v>
      </c>
      <c r="D53" s="26">
        <f ca="1">IFERROR(SUMIFS(Inputs!$G$2:$G$201,Inputs!$A$2:$A$201,$A53,Inputs!$B$2:$B$201,$B53)/SUMIFS(Inputs!$C$2:$C$201,Inputs!$A$2:$A$201,$A53,Inputs!$B$2:$B$201,$B53),0)</f>
        <v>0.75</v>
      </c>
      <c r="E53" s="25">
        <f ca="1">SUMIFS(Inputs!$F$2:$F$201,Inputs!$A$2:$A$201,$A53,Inputs!$B$2:$B$201,$B53)+SUMIFS(Inputs!$D$2:$D$201,Inputs!$A$2:$A$201,$A53,Inputs!$B$2:$B$201,$B53)+SUMIFS(Inputs!$H$2:$H$201,Inputs!$A$2:$A$201,$A53,Inputs!$B$2:$B$201,$B53)*+SUMIFS(Inputs!$X$2:$X$201,Inputs!$W$2:$W$201,$A53,Inputs!$V$2:$V$201,$B53)</f>
        <v>468989.58732960996</v>
      </c>
      <c r="F53" s="26">
        <f ca="1">IFERROR(SUMIFS(Inputs!$H$2:$H$201,Inputs!$A$2:$A$201,$A53,Inputs!$B$2:$B$201,$B53)/SUMIFS(Inputs!$C$2:$C$201,Inputs!$A$2:$A$201,$A53,Inputs!$B$2:$B$201,$B53),0)</f>
        <v>0.8326974772858656</v>
      </c>
      <c r="G53" s="27">
        <f ca="1">D53*SUMIFS(Inputs!$R$2:$R$23,Inputs!$P$2:$P$23,$B53)/SUMIFS(Inputs!$Q$2:$Q$23,Inputs!$P$2:$P$23,$B53)</f>
        <v>0.7235099511923284</v>
      </c>
      <c r="H53" s="27">
        <f ca="1">MAX(G53,$H$1)</f>
        <v>0.7235099511923284</v>
      </c>
      <c r="I53" s="27">
        <f ca="1">MIN(G53,$I$1)</f>
        <v>0.7235099511923284</v>
      </c>
    </row>
    <row r="54" spans="1:9" x14ac:dyDescent="0.3">
      <c r="A54" s="24">
        <v>2017</v>
      </c>
      <c r="B54" s="24" cm="1" t="str">
        <f t="array" aca="1" ref="B54" ca="1">INDIRECT("'Params'!A" &amp; (QUOTIENT(ROW(A54)-4, 10) + 1))</f>
        <v>DBPRO</v>
      </c>
      <c r="C54" s="25">
        <f ca="1">SUMIFS(Inputs!$F$2:$F$201,Inputs!$A$2:$A$201,$A54,Inputs!$B$2:$B$201,$B54)+SUMIFS(Inputs!$D$2:$D$201,Inputs!$A$2:$A$201,$A54,Inputs!$B$2:$B$201,$B54)+SUMIFS(Inputs!$G$2:$G$201,Inputs!$A$2:$A$201,$A54,Inputs!$B$2:$B$201,$B54)*+SUMIFS(Inputs!$X$2:$X$201,Inputs!$W$2:$W$201,$A54,Inputs!$V$2:$V$201,$B54)</f>
        <v>0.0</v>
      </c>
      <c r="D54" s="26">
        <f ca="1">IFERROR(SUMIFS(Inputs!$G$2:$G$201,Inputs!$A$2:$A$201,$A54,Inputs!$B$2:$B$201,$B54)/SUMIFS(Inputs!$C$2:$C$201,Inputs!$A$2:$A$201,$A54,Inputs!$B$2:$B$201,$B54),0)</f>
        <v>0.0</v>
      </c>
      <c r="E54" s="25">
        <f ca="1">SUMIFS(Inputs!$F$2:$F$201,Inputs!$A$2:$A$201,$A54,Inputs!$B$2:$B$201,$B54)+SUMIFS(Inputs!$D$2:$D$201,Inputs!$A$2:$A$201,$A54,Inputs!$B$2:$B$201,$B54)+SUMIFS(Inputs!$H$2:$H$201,Inputs!$A$2:$A$201,$A54,Inputs!$B$2:$B$201,$B54)*+SUMIFS(Inputs!$X$2:$X$201,Inputs!$W$2:$W$201,$A54,Inputs!$V$2:$V$201,$B54)</f>
        <v>0.0</v>
      </c>
      <c r="F54" s="26">
        <f ca="1">IFERROR(SUMIFS(Inputs!$H$2:$H$201,Inputs!$A$2:$A$201,$A54,Inputs!$B$2:$B$201,$B54)/SUMIFS(Inputs!$C$2:$C$201,Inputs!$A$2:$A$201,$A54,Inputs!$B$2:$B$201,$B54),0)</f>
        <v>0.0</v>
      </c>
      <c r="G54" s="27">
        <f ca="1">D54*SUMIFS(Inputs!$R$2:$R$23,Inputs!$P$2:$P$23,$B54)/SUMIFS(Inputs!$Q$2:$Q$23,Inputs!$P$2:$P$23,$B54)</f>
        <v>0.0</v>
      </c>
      <c r="H54" s="27">
        <f ca="1">MAX(G54,$H$1)</f>
        <v>0.0</v>
      </c>
      <c r="I54" s="27">
        <f ca="1">MIN(G54,$I$1)</f>
        <v>0.0</v>
      </c>
    </row>
    <row r="55" spans="1:9" x14ac:dyDescent="0.3">
      <c r="A55" s="24">
        <v>2018</v>
      </c>
      <c r="B55" s="24" cm="1" t="str">
        <f t="array" aca="1" ref="B55" ca="1">INDIRECT("'Params'!A" &amp; (QUOTIENT(ROW(A55)-4, 10) + 1))</f>
        <v>DBPRO</v>
      </c>
      <c r="C55" s="25">
        <f ca="1">SUMIFS(Inputs!$F$2:$F$201,Inputs!$A$2:$A$201,$A55,Inputs!$B$2:$B$201,$B55)+SUMIFS(Inputs!$D$2:$D$201,Inputs!$A$2:$A$201,$A55,Inputs!$B$2:$B$201,$B55)+SUMIFS(Inputs!$G$2:$G$201,Inputs!$A$2:$A$201,$A55,Inputs!$B$2:$B$201,$B55)*+SUMIFS(Inputs!$X$2:$X$201,Inputs!$W$2:$W$201,$A55,Inputs!$V$2:$V$201,$B55)</f>
        <v>0.0</v>
      </c>
      <c r="D55" s="26">
        <f ca="1">IFERROR(SUMIFS(Inputs!$G$2:$G$201,Inputs!$A$2:$A$201,$A55,Inputs!$B$2:$B$201,$B55)/SUMIFS(Inputs!$C$2:$C$201,Inputs!$A$2:$A$201,$A55,Inputs!$B$2:$B$201,$B55),0)</f>
        <v>0.0</v>
      </c>
      <c r="E55" s="25">
        <f ca="1">SUMIFS(Inputs!$F$2:$F$201,Inputs!$A$2:$A$201,$A55,Inputs!$B$2:$B$201,$B55)+SUMIFS(Inputs!$D$2:$D$201,Inputs!$A$2:$A$201,$A55,Inputs!$B$2:$B$201,$B55)+SUMIFS(Inputs!$H$2:$H$201,Inputs!$A$2:$A$201,$A55,Inputs!$B$2:$B$201,$B55)*+SUMIFS(Inputs!$X$2:$X$201,Inputs!$W$2:$W$201,$A55,Inputs!$V$2:$V$201,$B55)</f>
        <v>0.0</v>
      </c>
      <c r="F55" s="26">
        <f ca="1">IFERROR(SUMIFS(Inputs!$H$2:$H$201,Inputs!$A$2:$A$201,$A55,Inputs!$B$2:$B$201,$B55)/SUMIFS(Inputs!$C$2:$C$201,Inputs!$A$2:$A$201,$A55,Inputs!$B$2:$B$201,$B55),0)</f>
        <v>0.0</v>
      </c>
      <c r="G55" s="27">
        <f ca="1">D55*SUMIFS(Inputs!$R$2:$R$23,Inputs!$P$2:$P$23,$B55)/SUMIFS(Inputs!$Q$2:$Q$23,Inputs!$P$2:$P$23,$B55)</f>
        <v>0.0</v>
      </c>
      <c r="H55" s="27">
        <f ca="1">MAX(G55,$H$1)</f>
        <v>0.0</v>
      </c>
      <c r="I55" s="27">
        <f ca="1">MIN(G55,$I$1)</f>
        <v>0.0</v>
      </c>
    </row>
    <row r="56" spans="1:9" x14ac:dyDescent="0.3">
      <c r="A56" s="24">
        <v>2019</v>
      </c>
      <c r="B56" s="24" cm="1" t="str">
        <f t="array" aca="1" ref="B56" ca="1">INDIRECT("'Params'!A" &amp; (QUOTIENT(ROW(A56)-4, 10) + 1))</f>
        <v>DBPRO</v>
      </c>
      <c r="C56" s="25">
        <f ca="1">SUMIFS(Inputs!$F$2:$F$201,Inputs!$A$2:$A$201,$A56,Inputs!$B$2:$B$201,$B56)+SUMIFS(Inputs!$D$2:$D$201,Inputs!$A$2:$A$201,$A56,Inputs!$B$2:$B$201,$B56)+SUMIFS(Inputs!$G$2:$G$201,Inputs!$A$2:$A$201,$A56,Inputs!$B$2:$B$201,$B56)*+SUMIFS(Inputs!$X$2:$X$201,Inputs!$W$2:$W$201,$A56,Inputs!$V$2:$V$201,$B56)</f>
        <v>0.0</v>
      </c>
      <c r="D56" s="26">
        <f ca="1">IFERROR(SUMIFS(Inputs!$G$2:$G$201,Inputs!$A$2:$A$201,$A56,Inputs!$B$2:$B$201,$B56)/SUMIFS(Inputs!$C$2:$C$201,Inputs!$A$2:$A$201,$A56,Inputs!$B$2:$B$201,$B56),0)</f>
        <v>0.0</v>
      </c>
      <c r="E56" s="25">
        <f ca="1">SUMIFS(Inputs!$F$2:$F$201,Inputs!$A$2:$A$201,$A56,Inputs!$B$2:$B$201,$B56)+SUMIFS(Inputs!$D$2:$D$201,Inputs!$A$2:$A$201,$A56,Inputs!$B$2:$B$201,$B56)+SUMIFS(Inputs!$H$2:$H$201,Inputs!$A$2:$A$201,$A56,Inputs!$B$2:$B$201,$B56)*+SUMIFS(Inputs!$X$2:$X$201,Inputs!$W$2:$W$201,$A56,Inputs!$V$2:$V$201,$B56)</f>
        <v>0.0</v>
      </c>
      <c r="F56" s="26">
        <f ca="1">IFERROR(SUMIFS(Inputs!$H$2:$H$201,Inputs!$A$2:$A$201,$A56,Inputs!$B$2:$B$201,$B56)/SUMIFS(Inputs!$C$2:$C$201,Inputs!$A$2:$A$201,$A56,Inputs!$B$2:$B$201,$B56),0)</f>
        <v>0.0</v>
      </c>
      <c r="G56" s="27">
        <f ca="1">D56*SUMIFS(Inputs!$R$2:$R$23,Inputs!$P$2:$P$23,$B56)/SUMIFS(Inputs!$Q$2:$Q$23,Inputs!$P$2:$P$23,$B56)</f>
        <v>0.0</v>
      </c>
      <c r="H56" s="27">
        <f ca="1">MAX(G56,$H$1)</f>
        <v>0.0</v>
      </c>
      <c r="I56" s="27">
        <f ca="1">MIN(G56,$I$1)</f>
        <v>0.0</v>
      </c>
    </row>
    <row r="57" spans="1:9" x14ac:dyDescent="0.3">
      <c r="A57" s="24">
        <v>2020</v>
      </c>
      <c r="B57" s="24" cm="1" t="str">
        <f t="array" aca="1" ref="B57" ca="1">INDIRECT("'Params'!A" &amp; (QUOTIENT(ROW(A57)-4, 10) + 1))</f>
        <v>DBPRO</v>
      </c>
      <c r="C57" s="25">
        <f ca="1">SUMIFS(Inputs!$F$2:$F$201,Inputs!$A$2:$A$201,$A57,Inputs!$B$2:$B$201,$B57)+SUMIFS(Inputs!$D$2:$D$201,Inputs!$A$2:$A$201,$A57,Inputs!$B$2:$B$201,$B57)+SUMIFS(Inputs!$G$2:$G$201,Inputs!$A$2:$A$201,$A57,Inputs!$B$2:$B$201,$B57)*+SUMIFS(Inputs!$X$2:$X$201,Inputs!$W$2:$W$201,$A57,Inputs!$V$2:$V$201,$B57)</f>
        <v>0.0</v>
      </c>
      <c r="D57" s="26">
        <f ca="1">IFERROR(SUMIFS(Inputs!$G$2:$G$201,Inputs!$A$2:$A$201,$A57,Inputs!$B$2:$B$201,$B57)/SUMIFS(Inputs!$C$2:$C$201,Inputs!$A$2:$A$201,$A57,Inputs!$B$2:$B$201,$B57),0)</f>
        <v>0.0</v>
      </c>
      <c r="E57" s="25">
        <f ca="1">SUMIFS(Inputs!$F$2:$F$201,Inputs!$A$2:$A$201,$A57,Inputs!$B$2:$B$201,$B57)+SUMIFS(Inputs!$D$2:$D$201,Inputs!$A$2:$A$201,$A57,Inputs!$B$2:$B$201,$B57)+SUMIFS(Inputs!$H$2:$H$201,Inputs!$A$2:$A$201,$A57,Inputs!$B$2:$B$201,$B57)*+SUMIFS(Inputs!$X$2:$X$201,Inputs!$W$2:$W$201,$A57,Inputs!$V$2:$V$201,$B57)</f>
        <v>0.0</v>
      </c>
      <c r="F57" s="26">
        <f ca="1">IFERROR(SUMIFS(Inputs!$H$2:$H$201,Inputs!$A$2:$A$201,$A57,Inputs!$B$2:$B$201,$B57)/SUMIFS(Inputs!$C$2:$C$201,Inputs!$A$2:$A$201,$A57,Inputs!$B$2:$B$201,$B57),0)</f>
        <v>0.0</v>
      </c>
      <c r="G57" s="27">
        <f ca="1">D57*SUMIFS(Inputs!$R$2:$R$23,Inputs!$P$2:$P$23,$B57)/SUMIFS(Inputs!$Q$2:$Q$23,Inputs!$P$2:$P$23,$B57)</f>
        <v>0.0</v>
      </c>
      <c r="H57" s="27">
        <f ca="1">MAX(G57,$H$1)</f>
        <v>0.0</v>
      </c>
      <c r="I57" s="27">
        <f ca="1">MIN(G57,$I$1)</f>
        <v>0.0</v>
      </c>
    </row>
    <row r="58" spans="1:9" x14ac:dyDescent="0.3">
      <c r="A58" s="24">
        <v>2021</v>
      </c>
      <c r="B58" s="24" cm="1" t="str">
        <f t="array" aca="1" ref="B58" ca="1">INDIRECT("'Params'!A" &amp; (QUOTIENT(ROW(A58)-4, 10) + 1))</f>
        <v>DBPRO</v>
      </c>
      <c r="C58" s="25">
        <f ca="1">SUMIFS(Inputs!$F$2:$F$201,Inputs!$A$2:$A$201,$A58,Inputs!$B$2:$B$201,$B58)+SUMIFS(Inputs!$D$2:$D$201,Inputs!$A$2:$A$201,$A58,Inputs!$B$2:$B$201,$B58)+SUMIFS(Inputs!$G$2:$G$201,Inputs!$A$2:$A$201,$A58,Inputs!$B$2:$B$201,$B58)*+SUMIFS(Inputs!$X$2:$X$201,Inputs!$W$2:$W$201,$A58,Inputs!$V$2:$V$201,$B58)</f>
        <v>0.0</v>
      </c>
      <c r="D58" s="26">
        <f ca="1">IFERROR(SUMIFS(Inputs!$G$2:$G$201,Inputs!$A$2:$A$201,$A58,Inputs!$B$2:$B$201,$B58)/SUMIFS(Inputs!$C$2:$C$201,Inputs!$A$2:$A$201,$A58,Inputs!$B$2:$B$201,$B58),0)</f>
        <v>0.0</v>
      </c>
      <c r="E58" s="25">
        <f ca="1">SUMIFS(Inputs!$F$2:$F$201,Inputs!$A$2:$A$201,$A58,Inputs!$B$2:$B$201,$B58)+SUMIFS(Inputs!$D$2:$D$201,Inputs!$A$2:$A$201,$A58,Inputs!$B$2:$B$201,$B58)+SUMIFS(Inputs!$H$2:$H$201,Inputs!$A$2:$A$201,$A58,Inputs!$B$2:$B$201,$B58)*+SUMIFS(Inputs!$X$2:$X$201,Inputs!$W$2:$W$201,$A58,Inputs!$V$2:$V$201,$B58)</f>
        <v>0.0</v>
      </c>
      <c r="F58" s="26">
        <f ca="1">IFERROR(SUMIFS(Inputs!$H$2:$H$201,Inputs!$A$2:$A$201,$A58,Inputs!$B$2:$B$201,$B58)/SUMIFS(Inputs!$C$2:$C$201,Inputs!$A$2:$A$201,$A58,Inputs!$B$2:$B$201,$B58),0)</f>
        <v>0.0</v>
      </c>
      <c r="G58" s="27">
        <f ca="1">D58*SUMIFS(Inputs!$R$2:$R$23,Inputs!$P$2:$P$23,$B58)/SUMIFS(Inputs!$Q$2:$Q$23,Inputs!$P$2:$P$23,$B58)</f>
        <v>0.0</v>
      </c>
      <c r="H58" s="27">
        <f ca="1">MAX(G58,$H$1)</f>
        <v>0.0</v>
      </c>
      <c r="I58" s="27">
        <f ca="1">MIN(G58,$I$1)</f>
        <v>0.0</v>
      </c>
    </row>
    <row r="59" spans="1:9" x14ac:dyDescent="0.3">
      <c r="A59" s="24">
        <v>2022</v>
      </c>
      <c r="B59" s="24" cm="1" t="str">
        <f t="array" aca="1" ref="B59" ca="1">INDIRECT("'Params'!A" &amp; (QUOTIENT(ROW(A59)-4, 10) + 1))</f>
        <v>DBPRO</v>
      </c>
      <c r="C59" s="25">
        <f ca="1">SUMIFS(Inputs!$F$2:$F$201,Inputs!$A$2:$A$201,$A59,Inputs!$B$2:$B$201,$B59)+SUMIFS(Inputs!$D$2:$D$201,Inputs!$A$2:$A$201,$A59,Inputs!$B$2:$B$201,$B59)+SUMIFS(Inputs!$G$2:$G$201,Inputs!$A$2:$A$201,$A59,Inputs!$B$2:$B$201,$B59)*+SUMIFS(Inputs!$X$2:$X$201,Inputs!$W$2:$W$201,$A59,Inputs!$V$2:$V$201,$B59)</f>
        <v>0.0</v>
      </c>
      <c r="D59" s="26">
        <f ca="1">IFERROR(SUMIFS(Inputs!$G$2:$G$201,Inputs!$A$2:$A$201,$A59,Inputs!$B$2:$B$201,$B59)/SUMIFS(Inputs!$C$2:$C$201,Inputs!$A$2:$A$201,$A59,Inputs!$B$2:$B$201,$B59),0)</f>
        <v>0.0</v>
      </c>
      <c r="E59" s="25">
        <f ca="1">SUMIFS(Inputs!$F$2:$F$201,Inputs!$A$2:$A$201,$A59,Inputs!$B$2:$B$201,$B59)+SUMIFS(Inputs!$D$2:$D$201,Inputs!$A$2:$A$201,$A59,Inputs!$B$2:$B$201,$B59)+SUMIFS(Inputs!$H$2:$H$201,Inputs!$A$2:$A$201,$A59,Inputs!$B$2:$B$201,$B59)*+SUMIFS(Inputs!$X$2:$X$201,Inputs!$W$2:$W$201,$A59,Inputs!$V$2:$V$201,$B59)</f>
        <v>0.0</v>
      </c>
      <c r="F59" s="26">
        <f ca="1">IFERROR(SUMIFS(Inputs!$H$2:$H$201,Inputs!$A$2:$A$201,$A59,Inputs!$B$2:$B$201,$B59)/SUMIFS(Inputs!$C$2:$C$201,Inputs!$A$2:$A$201,$A59,Inputs!$B$2:$B$201,$B59),0)</f>
        <v>0.0</v>
      </c>
      <c r="G59" s="27">
        <f ca="1">D59*SUMIFS(Inputs!$R$2:$R$23,Inputs!$P$2:$P$23,$B59)/SUMIFS(Inputs!$Q$2:$Q$23,Inputs!$P$2:$P$23,$B59)</f>
        <v>0.0</v>
      </c>
      <c r="H59" s="27">
        <f ca="1">MAX(G59,$H$1)</f>
        <v>0.0</v>
      </c>
      <c r="I59" s="27">
        <f ca="1">MIN(G59,$I$1)</f>
        <v>0.0</v>
      </c>
    </row>
    <row r="60" spans="1:9" x14ac:dyDescent="0.3">
      <c r="A60" s="24">
        <v>2023</v>
      </c>
      <c r="B60" s="24" cm="1" t="str">
        <f t="array" aca="1" ref="B60" ca="1">INDIRECT("'Params'!A" &amp; (QUOTIENT(ROW(A60)-4, 10) + 1))</f>
        <v>DBPRO</v>
      </c>
      <c r="C60" s="25">
        <f ca="1">SUMIFS(Inputs!$F$2:$F$201,Inputs!$A$2:$A$201,$A60,Inputs!$B$2:$B$201,$B60)+SUMIFS(Inputs!$D$2:$D$201,Inputs!$A$2:$A$201,$A60,Inputs!$B$2:$B$201,$B60)+SUMIFS(Inputs!$G$2:$G$201,Inputs!$A$2:$A$201,$A60,Inputs!$B$2:$B$201,$B60)*+SUMIFS(Inputs!$X$2:$X$201,Inputs!$W$2:$W$201,$A60,Inputs!$V$2:$V$201,$B60)</f>
        <v>0.0</v>
      </c>
      <c r="D60" s="26">
        <f ca="1">IFERROR(SUMIFS(Inputs!$G$2:$G$201,Inputs!$A$2:$A$201,$A60,Inputs!$B$2:$B$201,$B60)/SUMIFS(Inputs!$C$2:$C$201,Inputs!$A$2:$A$201,$A60,Inputs!$B$2:$B$201,$B60),0)</f>
        <v>0.0</v>
      </c>
      <c r="E60" s="25">
        <f ca="1">SUMIFS(Inputs!$F$2:$F$201,Inputs!$A$2:$A$201,$A60,Inputs!$B$2:$B$201,$B60)+SUMIFS(Inputs!$D$2:$D$201,Inputs!$A$2:$A$201,$A60,Inputs!$B$2:$B$201,$B60)+SUMIFS(Inputs!$H$2:$H$201,Inputs!$A$2:$A$201,$A60,Inputs!$B$2:$B$201,$B60)*+SUMIFS(Inputs!$X$2:$X$201,Inputs!$W$2:$W$201,$A60,Inputs!$V$2:$V$201,$B60)</f>
        <v>0.0</v>
      </c>
      <c r="F60" s="26">
        <f ca="1">IFERROR(SUMIFS(Inputs!$H$2:$H$201,Inputs!$A$2:$A$201,$A60,Inputs!$B$2:$B$201,$B60)/SUMIFS(Inputs!$C$2:$C$201,Inputs!$A$2:$A$201,$A60,Inputs!$B$2:$B$201,$B60),0)</f>
        <v>0.0</v>
      </c>
      <c r="G60" s="27">
        <f ca="1">D60*SUMIFS(Inputs!$R$2:$R$23,Inputs!$P$2:$P$23,$B60)/SUMIFS(Inputs!$Q$2:$Q$23,Inputs!$P$2:$P$23,$B60)</f>
        <v>0.0</v>
      </c>
      <c r="H60" s="27">
        <f ca="1">MAX(G60,$H$1)</f>
        <v>0.0</v>
      </c>
      <c r="I60" s="27">
        <f ca="1">MIN(G60,$I$1)</f>
        <v>0.0</v>
      </c>
    </row>
    <row r="61" spans="1:9" x14ac:dyDescent="0.3">
      <c r="A61" s="24">
        <v>2024</v>
      </c>
      <c r="B61" s="24" cm="1" t="str">
        <f t="array" aca="1" ref="B61" ca="1">INDIRECT("'Params'!A" &amp; (QUOTIENT(ROW(A61)-4, 10) + 1))</f>
        <v>DBPRO</v>
      </c>
      <c r="C61" s="25">
        <f ca="1">SUMIFS(Inputs!$F$2:$F$201,Inputs!$A$2:$A$201,$A61,Inputs!$B$2:$B$201,$B61)+SUMIFS(Inputs!$D$2:$D$201,Inputs!$A$2:$A$201,$A61,Inputs!$B$2:$B$201,$B61)+SUMIFS(Inputs!$G$2:$G$201,Inputs!$A$2:$A$201,$A61,Inputs!$B$2:$B$201,$B61)*+SUMIFS(Inputs!$X$2:$X$201,Inputs!$W$2:$W$201,$A61,Inputs!$V$2:$V$201,$B61)</f>
        <v>0.0</v>
      </c>
      <c r="D61" s="26">
        <f ca="1">IFERROR(SUMIFS(Inputs!$G$2:$G$201,Inputs!$A$2:$A$201,$A61,Inputs!$B$2:$B$201,$B61)/SUMIFS(Inputs!$C$2:$C$201,Inputs!$A$2:$A$201,$A61,Inputs!$B$2:$B$201,$B61),0)</f>
        <v>0.0</v>
      </c>
      <c r="E61" s="25">
        <f ca="1">SUMIFS(Inputs!$F$2:$F$201,Inputs!$A$2:$A$201,$A61,Inputs!$B$2:$B$201,$B61)+SUMIFS(Inputs!$D$2:$D$201,Inputs!$A$2:$A$201,$A61,Inputs!$B$2:$B$201,$B61)+SUMIFS(Inputs!$H$2:$H$201,Inputs!$A$2:$A$201,$A61,Inputs!$B$2:$B$201,$B61)*+SUMIFS(Inputs!$X$2:$X$201,Inputs!$W$2:$W$201,$A61,Inputs!$V$2:$V$201,$B61)</f>
        <v>0.0</v>
      </c>
      <c r="F61" s="26">
        <f ca="1">IFERROR(SUMIFS(Inputs!$H$2:$H$201,Inputs!$A$2:$A$201,$A61,Inputs!$B$2:$B$201,$B61)/SUMIFS(Inputs!$C$2:$C$201,Inputs!$A$2:$A$201,$A61,Inputs!$B$2:$B$201,$B61),0)</f>
        <v>0.0</v>
      </c>
      <c r="G61" s="27">
        <f ca="1">D61*SUMIFS(Inputs!$R$2:$R$23,Inputs!$P$2:$P$23,$B61)/SUMIFS(Inputs!$Q$2:$Q$23,Inputs!$P$2:$P$23,$B61)</f>
        <v>0.0</v>
      </c>
      <c r="H61" s="27">
        <f ca="1">MAX(G61,$H$1)</f>
        <v>0.0</v>
      </c>
      <c r="I61" s="27">
        <f ca="1">MIN(G61,$I$1)</f>
        <v>0.0</v>
      </c>
    </row>
    <row r="62" spans="1:9" x14ac:dyDescent="0.3">
      <c r="A62" s="24">
        <v>2025</v>
      </c>
      <c r="B62" s="24" cm="1" t="str">
        <f t="array" aca="1" ref="B62" ca="1">INDIRECT("'Params'!A" &amp; (QUOTIENT(ROW(A62)-4, 10) + 1))</f>
        <v>DBPRO</v>
      </c>
      <c r="C62" s="25">
        <f ca="1">SUMIFS(Inputs!$F$2:$F$201,Inputs!$A$2:$A$201,$A62,Inputs!$B$2:$B$201,$B62)+SUMIFS(Inputs!$D$2:$D$201,Inputs!$A$2:$A$201,$A62,Inputs!$B$2:$B$201,$B62)+SUMIFS(Inputs!$G$2:$G$201,Inputs!$A$2:$A$201,$A62,Inputs!$B$2:$B$201,$B62)*+SUMIFS(Inputs!$X$2:$X$201,Inputs!$W$2:$W$201,$A62,Inputs!$V$2:$V$201,$B62)</f>
        <v>0.0</v>
      </c>
      <c r="D62" s="26">
        <f ca="1">IFERROR(SUMIFS(Inputs!$G$2:$G$201,Inputs!$A$2:$A$201,$A62,Inputs!$B$2:$B$201,$B62)/SUMIFS(Inputs!$C$2:$C$201,Inputs!$A$2:$A$201,$A62,Inputs!$B$2:$B$201,$B62),0)</f>
        <v>0.0</v>
      </c>
      <c r="E62" s="25">
        <f ca="1">SUMIFS(Inputs!$F$2:$F$201,Inputs!$A$2:$A$201,$A62,Inputs!$B$2:$B$201,$B62)+SUMIFS(Inputs!$D$2:$D$201,Inputs!$A$2:$A$201,$A62,Inputs!$B$2:$B$201,$B62)+SUMIFS(Inputs!$H$2:$H$201,Inputs!$A$2:$A$201,$A62,Inputs!$B$2:$B$201,$B62)*+SUMIFS(Inputs!$X$2:$X$201,Inputs!$W$2:$W$201,$A62,Inputs!$V$2:$V$201,$B62)</f>
        <v>0.0</v>
      </c>
      <c r="F62" s="26">
        <f ca="1">IFERROR(SUMIFS(Inputs!$H$2:$H$201,Inputs!$A$2:$A$201,$A62,Inputs!$B$2:$B$201,$B62)/SUMIFS(Inputs!$C$2:$C$201,Inputs!$A$2:$A$201,$A62,Inputs!$B$2:$B$201,$B62),0)</f>
        <v>0.0</v>
      </c>
      <c r="G62" s="27">
        <f ca="1">D62*SUMIFS(Inputs!$R$2:$R$23,Inputs!$P$2:$P$23,$B62)/SUMIFS(Inputs!$Q$2:$Q$23,Inputs!$P$2:$P$23,$B62)</f>
        <v>0.0</v>
      </c>
      <c r="H62" s="27">
        <f ca="1">MAX(G62,$H$1)</f>
        <v>0.0</v>
      </c>
      <c r="I62" s="27">
        <f ca="1">MIN(G62,$I$1)</f>
        <v>0.0</v>
      </c>
    </row>
    <row r="63" spans="1:9" x14ac:dyDescent="0.3">
      <c r="A63" s="24">
        <v>2026</v>
      </c>
      <c r="B63" s="24" cm="1" t="str">
        <f t="array" aca="1" ref="B63" ca="1">INDIRECT("'Params'!A" &amp; (QUOTIENT(ROW(A63)-4, 10) + 1))</f>
        <v>DBPRO</v>
      </c>
      <c r="C63" s="25">
        <f ca="1">SUMIFS(Inputs!$F$2:$F$201,Inputs!$A$2:$A$201,$A63,Inputs!$B$2:$B$201,$B63)+SUMIFS(Inputs!$D$2:$D$201,Inputs!$A$2:$A$201,$A63,Inputs!$B$2:$B$201,$B63)+SUMIFS(Inputs!$G$2:$G$201,Inputs!$A$2:$A$201,$A63,Inputs!$B$2:$B$201,$B63)*+SUMIFS(Inputs!$X$2:$X$201,Inputs!$W$2:$W$201,$A63,Inputs!$V$2:$V$201,$B63)</f>
        <v>0.0</v>
      </c>
      <c r="D63" s="26">
        <f ca="1">IFERROR(SUMIFS(Inputs!$G$2:$G$201,Inputs!$A$2:$A$201,$A63,Inputs!$B$2:$B$201,$B63)/SUMIFS(Inputs!$C$2:$C$201,Inputs!$A$2:$A$201,$A63,Inputs!$B$2:$B$201,$B63),0)</f>
        <v>0.0</v>
      </c>
      <c r="E63" s="25">
        <f ca="1">SUMIFS(Inputs!$F$2:$F$201,Inputs!$A$2:$A$201,$A63,Inputs!$B$2:$B$201,$B63)+SUMIFS(Inputs!$D$2:$D$201,Inputs!$A$2:$A$201,$A63,Inputs!$B$2:$B$201,$B63)+SUMIFS(Inputs!$H$2:$H$201,Inputs!$A$2:$A$201,$A63,Inputs!$B$2:$B$201,$B63)*+SUMIFS(Inputs!$X$2:$X$201,Inputs!$W$2:$W$201,$A63,Inputs!$V$2:$V$201,$B63)</f>
        <v>0.0</v>
      </c>
      <c r="F63" s="26">
        <f ca="1">IFERROR(SUMIFS(Inputs!$H$2:$H$201,Inputs!$A$2:$A$201,$A63,Inputs!$B$2:$B$201,$B63)/SUMIFS(Inputs!$C$2:$C$201,Inputs!$A$2:$A$201,$A63,Inputs!$B$2:$B$201,$B63),0)</f>
        <v>0.0</v>
      </c>
      <c r="G63" s="27">
        <f ca="1">D63*SUMIFS(Inputs!$R$2:$R$23,Inputs!$P$2:$P$23,$B63)/SUMIFS(Inputs!$Q$2:$Q$23,Inputs!$P$2:$P$23,$B63)</f>
        <v>0.0</v>
      </c>
      <c r="H63" s="27">
        <f ca="1">MAX(G63,$H$1)</f>
        <v>0.0</v>
      </c>
      <c r="I63" s="27">
        <f ca="1">MIN(G63,$I$1)</f>
        <v>0.0</v>
      </c>
    </row>
    <row r="64" spans="1:9" x14ac:dyDescent="0.3">
      <c r="A64" s="24">
        <v>2017</v>
      </c>
      <c r="B64" s="24" cm="1" t="str">
        <f t="array" aca="1" ref="B64" ca="1">INDIRECT("'Params'!A" &amp; (QUOTIENT(ROW(A64)-4, 10) + 1))</f>
        <v>DBTRT</v>
      </c>
      <c r="C64" s="25">
        <f ca="1">SUMIFS(Inputs!$F$2:$F$201,Inputs!$A$2:$A$201,$A64,Inputs!$B$2:$B$201,$B64)+SUMIFS(Inputs!$D$2:$D$201,Inputs!$A$2:$A$201,$A64,Inputs!$B$2:$B$201,$B64)+SUMIFS(Inputs!$G$2:$G$201,Inputs!$A$2:$A$201,$A64,Inputs!$B$2:$B$201,$B64)*+SUMIFS(Inputs!$X$2:$X$201,Inputs!$W$2:$W$201,$A64,Inputs!$V$2:$V$201,$B64)</f>
        <v>0.0</v>
      </c>
      <c r="D64" s="26">
        <f ca="1">IFERROR(SUMIFS(Inputs!$G$2:$G$201,Inputs!$A$2:$A$201,$A64,Inputs!$B$2:$B$201,$B64)/SUMIFS(Inputs!$C$2:$C$201,Inputs!$A$2:$A$201,$A64,Inputs!$B$2:$B$201,$B64),0)</f>
        <v>0.0</v>
      </c>
      <c r="E64" s="25">
        <f ca="1">SUMIFS(Inputs!$F$2:$F$201,Inputs!$A$2:$A$201,$A64,Inputs!$B$2:$B$201,$B64)+SUMIFS(Inputs!$D$2:$D$201,Inputs!$A$2:$A$201,$A64,Inputs!$B$2:$B$201,$B64)+SUMIFS(Inputs!$H$2:$H$201,Inputs!$A$2:$A$201,$A64,Inputs!$B$2:$B$201,$B64)*+SUMIFS(Inputs!$X$2:$X$201,Inputs!$W$2:$W$201,$A64,Inputs!$V$2:$V$201,$B64)</f>
        <v>0.0</v>
      </c>
      <c r="F64" s="26">
        <f ca="1">IFERROR(SUMIFS(Inputs!$H$2:$H$201,Inputs!$A$2:$A$201,$A64,Inputs!$B$2:$B$201,$B64)/SUMIFS(Inputs!$C$2:$C$201,Inputs!$A$2:$A$201,$A64,Inputs!$B$2:$B$201,$B64),0)</f>
        <v>0.0</v>
      </c>
      <c r="G64" s="27">
        <f ca="1">D64*SUMIFS(Inputs!$R$2:$R$23,Inputs!$P$2:$P$23,$B64)/SUMIFS(Inputs!$Q$2:$Q$23,Inputs!$P$2:$P$23,$B64)</f>
        <v>0.0</v>
      </c>
      <c r="H64" s="27">
        <f ca="1">MAX(G64,$H$1)</f>
        <v>0.0</v>
      </c>
      <c r="I64" s="27">
        <f ca="1">MIN(G64,$I$1)</f>
        <v>0.0</v>
      </c>
    </row>
    <row r="65" spans="1:9" x14ac:dyDescent="0.3">
      <c r="A65" s="24">
        <v>2018</v>
      </c>
      <c r="B65" s="24" cm="1" t="str">
        <f t="array" aca="1" ref="B65" ca="1">INDIRECT("'Params'!A" &amp; (QUOTIENT(ROW(A65)-4, 10) + 1))</f>
        <v>DBTRT</v>
      </c>
      <c r="C65" s="25">
        <f ca="1">SUMIFS(Inputs!$F$2:$F$201,Inputs!$A$2:$A$201,$A65,Inputs!$B$2:$B$201,$B65)+SUMIFS(Inputs!$D$2:$D$201,Inputs!$A$2:$A$201,$A65,Inputs!$B$2:$B$201,$B65)+SUMIFS(Inputs!$G$2:$G$201,Inputs!$A$2:$A$201,$A65,Inputs!$B$2:$B$201,$B65)*+SUMIFS(Inputs!$X$2:$X$201,Inputs!$W$2:$W$201,$A65,Inputs!$V$2:$V$201,$B65)</f>
        <v>0.0</v>
      </c>
      <c r="D65" s="26">
        <f ca="1">IFERROR(SUMIFS(Inputs!$G$2:$G$201,Inputs!$A$2:$A$201,$A65,Inputs!$B$2:$B$201,$B65)/SUMIFS(Inputs!$C$2:$C$201,Inputs!$A$2:$A$201,$A65,Inputs!$B$2:$B$201,$B65),0)</f>
        <v>0.0</v>
      </c>
      <c r="E65" s="25">
        <f ca="1">SUMIFS(Inputs!$F$2:$F$201,Inputs!$A$2:$A$201,$A65,Inputs!$B$2:$B$201,$B65)+SUMIFS(Inputs!$D$2:$D$201,Inputs!$A$2:$A$201,$A65,Inputs!$B$2:$B$201,$B65)+SUMIFS(Inputs!$H$2:$H$201,Inputs!$A$2:$A$201,$A65,Inputs!$B$2:$B$201,$B65)*+SUMIFS(Inputs!$X$2:$X$201,Inputs!$W$2:$W$201,$A65,Inputs!$V$2:$V$201,$B65)</f>
        <v>0.0</v>
      </c>
      <c r="F65" s="26">
        <f ca="1">IFERROR(SUMIFS(Inputs!$H$2:$H$201,Inputs!$A$2:$A$201,$A65,Inputs!$B$2:$B$201,$B65)/SUMIFS(Inputs!$C$2:$C$201,Inputs!$A$2:$A$201,$A65,Inputs!$B$2:$B$201,$B65),0)</f>
        <v>0.0</v>
      </c>
      <c r="G65" s="27">
        <f ca="1">D65*SUMIFS(Inputs!$R$2:$R$23,Inputs!$P$2:$P$23,$B65)/SUMIFS(Inputs!$Q$2:$Q$23,Inputs!$P$2:$P$23,$B65)</f>
        <v>0.0</v>
      </c>
      <c r="H65" s="27">
        <f ca="1">MAX(G65,$H$1)</f>
        <v>0.0</v>
      </c>
      <c r="I65" s="27">
        <f ca="1">MIN(G65,$I$1)</f>
        <v>0.0</v>
      </c>
    </row>
    <row r="66" spans="1:9" x14ac:dyDescent="0.3">
      <c r="A66" s="24">
        <v>2019</v>
      </c>
      <c r="B66" s="24" cm="1" t="str">
        <f t="array" aca="1" ref="B66" ca="1">INDIRECT("'Params'!A" &amp; (QUOTIENT(ROW(A66)-4, 10) + 1))</f>
        <v>DBTRT</v>
      </c>
      <c r="C66" s="25">
        <f ca="1">SUMIFS(Inputs!$F$2:$F$201,Inputs!$A$2:$A$201,$A66,Inputs!$B$2:$B$201,$B66)+SUMIFS(Inputs!$D$2:$D$201,Inputs!$A$2:$A$201,$A66,Inputs!$B$2:$B$201,$B66)+SUMIFS(Inputs!$G$2:$G$201,Inputs!$A$2:$A$201,$A66,Inputs!$B$2:$B$201,$B66)*+SUMIFS(Inputs!$X$2:$X$201,Inputs!$W$2:$W$201,$A66,Inputs!$V$2:$V$201,$B66)</f>
        <v>0.0</v>
      </c>
      <c r="D66" s="26">
        <f ca="1">IFERROR(SUMIFS(Inputs!$G$2:$G$201,Inputs!$A$2:$A$201,$A66,Inputs!$B$2:$B$201,$B66)/SUMIFS(Inputs!$C$2:$C$201,Inputs!$A$2:$A$201,$A66,Inputs!$B$2:$B$201,$B66),0)</f>
        <v>0.0</v>
      </c>
      <c r="E66" s="25">
        <f ca="1">SUMIFS(Inputs!$F$2:$F$201,Inputs!$A$2:$A$201,$A66,Inputs!$B$2:$B$201,$B66)+SUMIFS(Inputs!$D$2:$D$201,Inputs!$A$2:$A$201,$A66,Inputs!$B$2:$B$201,$B66)+SUMIFS(Inputs!$H$2:$H$201,Inputs!$A$2:$A$201,$A66,Inputs!$B$2:$B$201,$B66)*+SUMIFS(Inputs!$X$2:$X$201,Inputs!$W$2:$W$201,$A66,Inputs!$V$2:$V$201,$B66)</f>
        <v>0.0</v>
      </c>
      <c r="F66" s="26">
        <f ca="1">IFERROR(SUMIFS(Inputs!$H$2:$H$201,Inputs!$A$2:$A$201,$A66,Inputs!$B$2:$B$201,$B66)/SUMIFS(Inputs!$C$2:$C$201,Inputs!$A$2:$A$201,$A66,Inputs!$B$2:$B$201,$B66),0)</f>
        <v>0.0</v>
      </c>
      <c r="G66" s="27">
        <f ca="1">D66*SUMIFS(Inputs!$R$2:$R$23,Inputs!$P$2:$P$23,$B66)/SUMIFS(Inputs!$Q$2:$Q$23,Inputs!$P$2:$P$23,$B66)</f>
        <v>0.0</v>
      </c>
      <c r="H66" s="27">
        <f ca="1">MAX(G66,$H$1)</f>
        <v>0.0</v>
      </c>
      <c r="I66" s="27">
        <f ca="1">MIN(G66,$I$1)</f>
        <v>0.0</v>
      </c>
    </row>
    <row r="67" spans="1:9" x14ac:dyDescent="0.3">
      <c r="A67" s="24">
        <v>2020</v>
      </c>
      <c r="B67" s="24" cm="1" t="str">
        <f t="array" aca="1" ref="B67" ca="1">INDIRECT("'Params'!A" &amp; (QUOTIENT(ROW(A67)-4, 10) + 1))</f>
        <v>DBTRT</v>
      </c>
      <c r="C67" s="25">
        <f ca="1">SUMIFS(Inputs!$F$2:$F$201,Inputs!$A$2:$A$201,$A67,Inputs!$B$2:$B$201,$B67)+SUMIFS(Inputs!$D$2:$D$201,Inputs!$A$2:$A$201,$A67,Inputs!$B$2:$B$201,$B67)+SUMIFS(Inputs!$G$2:$G$201,Inputs!$A$2:$A$201,$A67,Inputs!$B$2:$B$201,$B67)*+SUMIFS(Inputs!$X$2:$X$201,Inputs!$W$2:$W$201,$A67,Inputs!$V$2:$V$201,$B67)</f>
        <v>0.0</v>
      </c>
      <c r="D67" s="26">
        <f ca="1">IFERROR(SUMIFS(Inputs!$G$2:$G$201,Inputs!$A$2:$A$201,$A67,Inputs!$B$2:$B$201,$B67)/SUMIFS(Inputs!$C$2:$C$201,Inputs!$A$2:$A$201,$A67,Inputs!$B$2:$B$201,$B67),0)</f>
        <v>0.0</v>
      </c>
      <c r="E67" s="25">
        <f ca="1">SUMIFS(Inputs!$F$2:$F$201,Inputs!$A$2:$A$201,$A67,Inputs!$B$2:$B$201,$B67)+SUMIFS(Inputs!$D$2:$D$201,Inputs!$A$2:$A$201,$A67,Inputs!$B$2:$B$201,$B67)+SUMIFS(Inputs!$H$2:$H$201,Inputs!$A$2:$A$201,$A67,Inputs!$B$2:$B$201,$B67)*+SUMIFS(Inputs!$X$2:$X$201,Inputs!$W$2:$W$201,$A67,Inputs!$V$2:$V$201,$B67)</f>
        <v>0.0</v>
      </c>
      <c r="F67" s="26">
        <f ca="1">IFERROR(SUMIFS(Inputs!$H$2:$H$201,Inputs!$A$2:$A$201,$A67,Inputs!$B$2:$B$201,$B67)/SUMIFS(Inputs!$C$2:$C$201,Inputs!$A$2:$A$201,$A67,Inputs!$B$2:$B$201,$B67),0)</f>
        <v>0.0</v>
      </c>
      <c r="G67" s="27">
        <f ca="1">D67*SUMIFS(Inputs!$R$2:$R$23,Inputs!$P$2:$P$23,$B67)/SUMIFS(Inputs!$Q$2:$Q$23,Inputs!$P$2:$P$23,$B67)</f>
        <v>0.0</v>
      </c>
      <c r="H67" s="27">
        <f ca="1">MAX(G67,$H$1)</f>
        <v>0.0</v>
      </c>
      <c r="I67" s="27">
        <f ca="1">MIN(G67,$I$1)</f>
        <v>0.0</v>
      </c>
    </row>
    <row r="68" spans="1:9" x14ac:dyDescent="0.3">
      <c r="A68" s="24">
        <v>2021</v>
      </c>
      <c r="B68" s="24" cm="1" t="str">
        <f t="array" aca="1" ref="B68" ca="1">INDIRECT("'Params'!A" &amp; (QUOTIENT(ROW(A68)-4, 10) + 1))</f>
        <v>DBTRT</v>
      </c>
      <c r="C68" s="25">
        <f ca="1">SUMIFS(Inputs!$F$2:$F$201,Inputs!$A$2:$A$201,$A68,Inputs!$B$2:$B$201,$B68)+SUMIFS(Inputs!$D$2:$D$201,Inputs!$A$2:$A$201,$A68,Inputs!$B$2:$B$201,$B68)+SUMIFS(Inputs!$G$2:$G$201,Inputs!$A$2:$A$201,$A68,Inputs!$B$2:$B$201,$B68)*+SUMIFS(Inputs!$X$2:$X$201,Inputs!$W$2:$W$201,$A68,Inputs!$V$2:$V$201,$B68)</f>
        <v>0.0</v>
      </c>
      <c r="D68" s="26">
        <f ca="1">IFERROR(SUMIFS(Inputs!$G$2:$G$201,Inputs!$A$2:$A$201,$A68,Inputs!$B$2:$B$201,$B68)/SUMIFS(Inputs!$C$2:$C$201,Inputs!$A$2:$A$201,$A68,Inputs!$B$2:$B$201,$B68),0)</f>
        <v>0.0</v>
      </c>
      <c r="E68" s="25">
        <f ca="1">SUMIFS(Inputs!$F$2:$F$201,Inputs!$A$2:$A$201,$A68,Inputs!$B$2:$B$201,$B68)+SUMIFS(Inputs!$D$2:$D$201,Inputs!$A$2:$A$201,$A68,Inputs!$B$2:$B$201,$B68)+SUMIFS(Inputs!$H$2:$H$201,Inputs!$A$2:$A$201,$A68,Inputs!$B$2:$B$201,$B68)*+SUMIFS(Inputs!$X$2:$X$201,Inputs!$W$2:$W$201,$A68,Inputs!$V$2:$V$201,$B68)</f>
        <v>0.0</v>
      </c>
      <c r="F68" s="26">
        <f ca="1">IFERROR(SUMIFS(Inputs!$H$2:$H$201,Inputs!$A$2:$A$201,$A68,Inputs!$B$2:$B$201,$B68)/SUMIFS(Inputs!$C$2:$C$201,Inputs!$A$2:$A$201,$A68,Inputs!$B$2:$B$201,$B68),0)</f>
        <v>0.0</v>
      </c>
      <c r="G68" s="27">
        <f ca="1">D68*SUMIFS(Inputs!$R$2:$R$23,Inputs!$P$2:$P$23,$B68)/SUMIFS(Inputs!$Q$2:$Q$23,Inputs!$P$2:$P$23,$B68)</f>
        <v>0.0</v>
      </c>
      <c r="H68" s="27">
        <f ca="1">MAX(G68,$H$1)</f>
        <v>0.0</v>
      </c>
      <c r="I68" s="27">
        <f ca="1">MIN(G68,$I$1)</f>
        <v>0.0</v>
      </c>
    </row>
    <row r="69" spans="1:9" x14ac:dyDescent="0.3">
      <c r="A69" s="24">
        <v>2022</v>
      </c>
      <c r="B69" s="24" cm="1" t="str">
        <f t="array" aca="1" ref="B69" ca="1">INDIRECT("'Params'!A" &amp; (QUOTIENT(ROW(A69)-4, 10) + 1))</f>
        <v>DBTRT</v>
      </c>
      <c r="C69" s="25">
        <f ca="1">SUMIFS(Inputs!$F$2:$F$201,Inputs!$A$2:$A$201,$A69,Inputs!$B$2:$B$201,$B69)+SUMIFS(Inputs!$D$2:$D$201,Inputs!$A$2:$A$201,$A69,Inputs!$B$2:$B$201,$B69)+SUMIFS(Inputs!$G$2:$G$201,Inputs!$A$2:$A$201,$A69,Inputs!$B$2:$B$201,$B69)*+SUMIFS(Inputs!$X$2:$X$201,Inputs!$W$2:$W$201,$A69,Inputs!$V$2:$V$201,$B69)</f>
        <v>0.0</v>
      </c>
      <c r="D69" s="26">
        <f ca="1">IFERROR(SUMIFS(Inputs!$G$2:$G$201,Inputs!$A$2:$A$201,$A69,Inputs!$B$2:$B$201,$B69)/SUMIFS(Inputs!$C$2:$C$201,Inputs!$A$2:$A$201,$A69,Inputs!$B$2:$B$201,$B69),0)</f>
        <v>0.0</v>
      </c>
      <c r="E69" s="25">
        <f ca="1">SUMIFS(Inputs!$F$2:$F$201,Inputs!$A$2:$A$201,$A69,Inputs!$B$2:$B$201,$B69)+SUMIFS(Inputs!$D$2:$D$201,Inputs!$A$2:$A$201,$A69,Inputs!$B$2:$B$201,$B69)+SUMIFS(Inputs!$H$2:$H$201,Inputs!$A$2:$A$201,$A69,Inputs!$B$2:$B$201,$B69)*+SUMIFS(Inputs!$X$2:$X$201,Inputs!$W$2:$W$201,$A69,Inputs!$V$2:$V$201,$B69)</f>
        <v>0.0</v>
      </c>
      <c r="F69" s="26">
        <f ca="1">IFERROR(SUMIFS(Inputs!$H$2:$H$201,Inputs!$A$2:$A$201,$A69,Inputs!$B$2:$B$201,$B69)/SUMIFS(Inputs!$C$2:$C$201,Inputs!$A$2:$A$201,$A69,Inputs!$B$2:$B$201,$B69),0)</f>
        <v>0.0</v>
      </c>
      <c r="G69" s="27">
        <f ca="1">D69*SUMIFS(Inputs!$R$2:$R$23,Inputs!$P$2:$P$23,$B69)/SUMIFS(Inputs!$Q$2:$Q$23,Inputs!$P$2:$P$23,$B69)</f>
        <v>0.0</v>
      </c>
      <c r="H69" s="27">
        <f ca="1">MAX(G69,$H$1)</f>
        <v>0.0</v>
      </c>
      <c r="I69" s="27">
        <f ca="1">MIN(G69,$I$1)</f>
        <v>0.0</v>
      </c>
    </row>
    <row r="70" spans="1:9" x14ac:dyDescent="0.3">
      <c r="A70" s="24">
        <v>2023</v>
      </c>
      <c r="B70" s="24" cm="1" t="str">
        <f t="array" aca="1" ref="B70" ca="1">INDIRECT("'Params'!A" &amp; (QUOTIENT(ROW(A70)-4, 10) + 1))</f>
        <v>DBTRT</v>
      </c>
      <c r="C70" s="25">
        <f ca="1">SUMIFS(Inputs!$F$2:$F$201,Inputs!$A$2:$A$201,$A70,Inputs!$B$2:$B$201,$B70)+SUMIFS(Inputs!$D$2:$D$201,Inputs!$A$2:$A$201,$A70,Inputs!$B$2:$B$201,$B70)+SUMIFS(Inputs!$G$2:$G$201,Inputs!$A$2:$A$201,$A70,Inputs!$B$2:$B$201,$B70)*+SUMIFS(Inputs!$X$2:$X$201,Inputs!$W$2:$W$201,$A70,Inputs!$V$2:$V$201,$B70)</f>
        <v>0.0</v>
      </c>
      <c r="D70" s="26">
        <f ca="1">IFERROR(SUMIFS(Inputs!$G$2:$G$201,Inputs!$A$2:$A$201,$A70,Inputs!$B$2:$B$201,$B70)/SUMIFS(Inputs!$C$2:$C$201,Inputs!$A$2:$A$201,$A70,Inputs!$B$2:$B$201,$B70),0)</f>
        <v>0.0</v>
      </c>
      <c r="E70" s="25">
        <f ca="1">SUMIFS(Inputs!$F$2:$F$201,Inputs!$A$2:$A$201,$A70,Inputs!$B$2:$B$201,$B70)+SUMIFS(Inputs!$D$2:$D$201,Inputs!$A$2:$A$201,$A70,Inputs!$B$2:$B$201,$B70)+SUMIFS(Inputs!$H$2:$H$201,Inputs!$A$2:$A$201,$A70,Inputs!$B$2:$B$201,$B70)*+SUMIFS(Inputs!$X$2:$X$201,Inputs!$W$2:$W$201,$A70,Inputs!$V$2:$V$201,$B70)</f>
        <v>0.0</v>
      </c>
      <c r="F70" s="26">
        <f ca="1">IFERROR(SUMIFS(Inputs!$H$2:$H$201,Inputs!$A$2:$A$201,$A70,Inputs!$B$2:$B$201,$B70)/SUMIFS(Inputs!$C$2:$C$201,Inputs!$A$2:$A$201,$A70,Inputs!$B$2:$B$201,$B70),0)</f>
        <v>0.0</v>
      </c>
      <c r="G70" s="27">
        <f ca="1">D70*SUMIFS(Inputs!$R$2:$R$23,Inputs!$P$2:$P$23,$B70)/SUMIFS(Inputs!$Q$2:$Q$23,Inputs!$P$2:$P$23,$B70)</f>
        <v>0.0</v>
      </c>
      <c r="H70" s="27">
        <f ca="1">MAX(G70,$H$1)</f>
        <v>0.0</v>
      </c>
      <c r="I70" s="27">
        <f ca="1">MIN(G70,$I$1)</f>
        <v>0.0</v>
      </c>
    </row>
    <row r="71" spans="1:9" x14ac:dyDescent="0.3">
      <c r="A71" s="24">
        <v>2024</v>
      </c>
      <c r="B71" s="24" cm="1" t="str">
        <f t="array" aca="1" ref="B71" ca="1">INDIRECT("'Params'!A" &amp; (QUOTIENT(ROW(A71)-4, 10) + 1))</f>
        <v>DBTRT</v>
      </c>
      <c r="C71" s="25">
        <f ca="1">SUMIFS(Inputs!$F$2:$F$201,Inputs!$A$2:$A$201,$A71,Inputs!$B$2:$B$201,$B71)+SUMIFS(Inputs!$D$2:$D$201,Inputs!$A$2:$A$201,$A71,Inputs!$B$2:$B$201,$B71)+SUMIFS(Inputs!$G$2:$G$201,Inputs!$A$2:$A$201,$A71,Inputs!$B$2:$B$201,$B71)*+SUMIFS(Inputs!$X$2:$X$201,Inputs!$W$2:$W$201,$A71,Inputs!$V$2:$V$201,$B71)</f>
        <v>0.0</v>
      </c>
      <c r="D71" s="26">
        <f ca="1">IFERROR(SUMIFS(Inputs!$G$2:$G$201,Inputs!$A$2:$A$201,$A71,Inputs!$B$2:$B$201,$B71)/SUMIFS(Inputs!$C$2:$C$201,Inputs!$A$2:$A$201,$A71,Inputs!$B$2:$B$201,$B71),0)</f>
        <v>0.0</v>
      </c>
      <c r="E71" s="25">
        <f ca="1">SUMIFS(Inputs!$F$2:$F$201,Inputs!$A$2:$A$201,$A71,Inputs!$B$2:$B$201,$B71)+SUMIFS(Inputs!$D$2:$D$201,Inputs!$A$2:$A$201,$A71,Inputs!$B$2:$B$201,$B71)+SUMIFS(Inputs!$H$2:$H$201,Inputs!$A$2:$A$201,$A71,Inputs!$B$2:$B$201,$B71)*+SUMIFS(Inputs!$X$2:$X$201,Inputs!$W$2:$W$201,$A71,Inputs!$V$2:$V$201,$B71)</f>
        <v>0.0</v>
      </c>
      <c r="F71" s="26">
        <f ca="1">IFERROR(SUMIFS(Inputs!$H$2:$H$201,Inputs!$A$2:$A$201,$A71,Inputs!$B$2:$B$201,$B71)/SUMIFS(Inputs!$C$2:$C$201,Inputs!$A$2:$A$201,$A71,Inputs!$B$2:$B$201,$B71),0)</f>
        <v>0.0</v>
      </c>
      <c r="G71" s="27">
        <f ca="1">D71*SUMIFS(Inputs!$R$2:$R$23,Inputs!$P$2:$P$23,$B71)/SUMIFS(Inputs!$Q$2:$Q$23,Inputs!$P$2:$P$23,$B71)</f>
        <v>0.0</v>
      </c>
      <c r="H71" s="27">
        <f ca="1">MAX(G71,$H$1)</f>
        <v>0.0</v>
      </c>
      <c r="I71" s="27">
        <f ca="1">MIN(G71,$I$1)</f>
        <v>0.0</v>
      </c>
    </row>
    <row r="72" spans="1:9" x14ac:dyDescent="0.3">
      <c r="A72" s="24">
        <v>2025</v>
      </c>
      <c r="B72" s="24" cm="1" t="str">
        <f t="array" aca="1" ref="B72" ca="1">INDIRECT("'Params'!A" &amp; (QUOTIENT(ROW(A72)-4, 10) + 1))</f>
        <v>DBTRT</v>
      </c>
      <c r="C72" s="25">
        <f ca="1">SUMIFS(Inputs!$F$2:$F$201,Inputs!$A$2:$A$201,$A72,Inputs!$B$2:$B$201,$B72)+SUMIFS(Inputs!$D$2:$D$201,Inputs!$A$2:$A$201,$A72,Inputs!$B$2:$B$201,$B72)+SUMIFS(Inputs!$G$2:$G$201,Inputs!$A$2:$A$201,$A72,Inputs!$B$2:$B$201,$B72)*+SUMIFS(Inputs!$X$2:$X$201,Inputs!$W$2:$W$201,$A72,Inputs!$V$2:$V$201,$B72)</f>
        <v>0.0</v>
      </c>
      <c r="D72" s="26">
        <f ca="1">IFERROR(SUMIFS(Inputs!$G$2:$G$201,Inputs!$A$2:$A$201,$A72,Inputs!$B$2:$B$201,$B72)/SUMIFS(Inputs!$C$2:$C$201,Inputs!$A$2:$A$201,$A72,Inputs!$B$2:$B$201,$B72),0)</f>
        <v>0.0</v>
      </c>
      <c r="E72" s="25">
        <f ca="1">SUMIFS(Inputs!$F$2:$F$201,Inputs!$A$2:$A$201,$A72,Inputs!$B$2:$B$201,$B72)+SUMIFS(Inputs!$D$2:$D$201,Inputs!$A$2:$A$201,$A72,Inputs!$B$2:$B$201,$B72)+SUMIFS(Inputs!$H$2:$H$201,Inputs!$A$2:$A$201,$A72,Inputs!$B$2:$B$201,$B72)*+SUMIFS(Inputs!$X$2:$X$201,Inputs!$W$2:$W$201,$A72,Inputs!$V$2:$V$201,$B72)</f>
        <v>0.0</v>
      </c>
      <c r="F72" s="26">
        <f ca="1">IFERROR(SUMIFS(Inputs!$H$2:$H$201,Inputs!$A$2:$A$201,$A72,Inputs!$B$2:$B$201,$B72)/SUMIFS(Inputs!$C$2:$C$201,Inputs!$A$2:$A$201,$A72,Inputs!$B$2:$B$201,$B72),0)</f>
        <v>0.0</v>
      </c>
      <c r="G72" s="27">
        <f ca="1">D72*SUMIFS(Inputs!$R$2:$R$23,Inputs!$P$2:$P$23,$B72)/SUMIFS(Inputs!$Q$2:$Q$23,Inputs!$P$2:$P$23,$B72)</f>
        <v>0.0</v>
      </c>
      <c r="H72" s="27">
        <f ca="1">MAX(G72,$H$1)</f>
        <v>0.0</v>
      </c>
      <c r="I72" s="27">
        <f ca="1">MIN(G72,$I$1)</f>
        <v>0.0</v>
      </c>
    </row>
    <row r="73" spans="1:9" x14ac:dyDescent="0.3">
      <c r="A73" s="24">
        <v>2026</v>
      </c>
      <c r="B73" s="24" cm="1" t="str">
        <f t="array" aca="1" ref="B73" ca="1">INDIRECT("'Params'!A" &amp; (QUOTIENT(ROW(A73)-4, 10) + 1))</f>
        <v>DBTRT</v>
      </c>
      <c r="C73" s="25">
        <f ca="1">SUMIFS(Inputs!$F$2:$F$201,Inputs!$A$2:$A$201,$A73,Inputs!$B$2:$B$201,$B73)+SUMIFS(Inputs!$D$2:$D$201,Inputs!$A$2:$A$201,$A73,Inputs!$B$2:$B$201,$B73)+SUMIFS(Inputs!$G$2:$G$201,Inputs!$A$2:$A$201,$A73,Inputs!$B$2:$B$201,$B73)*+SUMIFS(Inputs!$X$2:$X$201,Inputs!$W$2:$W$201,$A73,Inputs!$V$2:$V$201,$B73)</f>
        <v>0.0</v>
      </c>
      <c r="D73" s="26">
        <f ca="1">IFERROR(SUMIFS(Inputs!$G$2:$G$201,Inputs!$A$2:$A$201,$A73,Inputs!$B$2:$B$201,$B73)/SUMIFS(Inputs!$C$2:$C$201,Inputs!$A$2:$A$201,$A73,Inputs!$B$2:$B$201,$B73),0)</f>
        <v>0.0</v>
      </c>
      <c r="E73" s="25">
        <f ca="1">SUMIFS(Inputs!$F$2:$F$201,Inputs!$A$2:$A$201,$A73,Inputs!$B$2:$B$201,$B73)+SUMIFS(Inputs!$D$2:$D$201,Inputs!$A$2:$A$201,$A73,Inputs!$B$2:$B$201,$B73)+SUMIFS(Inputs!$H$2:$H$201,Inputs!$A$2:$A$201,$A73,Inputs!$B$2:$B$201,$B73)*+SUMIFS(Inputs!$X$2:$X$201,Inputs!$W$2:$W$201,$A73,Inputs!$V$2:$V$201,$B73)</f>
        <v>0.0</v>
      </c>
      <c r="F73" s="26">
        <f ca="1">IFERROR(SUMIFS(Inputs!$H$2:$H$201,Inputs!$A$2:$A$201,$A73,Inputs!$B$2:$B$201,$B73)/SUMIFS(Inputs!$C$2:$C$201,Inputs!$A$2:$A$201,$A73,Inputs!$B$2:$B$201,$B73),0)</f>
        <v>0.0</v>
      </c>
      <c r="G73" s="27">
        <f ca="1">D73*SUMIFS(Inputs!$R$2:$R$23,Inputs!$P$2:$P$23,$B73)/SUMIFS(Inputs!$Q$2:$Q$23,Inputs!$P$2:$P$23,$B73)</f>
        <v>0.0</v>
      </c>
      <c r="H73" s="27">
        <f ca="1">MAX(G73,$H$1)</f>
        <v>0.0</v>
      </c>
      <c r="I73" s="27">
        <f ca="1">MIN(G73,$I$1)</f>
        <v>0.0</v>
      </c>
    </row>
    <row r="74" spans="1:9" x14ac:dyDescent="0.3">
      <c r="A74" s="24">
        <v>2017</v>
      </c>
      <c r="B74" s="24" cm="1" t="str">
        <f t="array" aca="1" ref="B74" ca="1">INDIRECT("'Params'!A" &amp; (QUOTIENT(ROW(A74)-4, 10) + 1))</f>
        <v>LIIND</v>
      </c>
      <c r="C74" s="25">
        <f ca="1">SUMIFS(Inputs!$F$2:$F$201,Inputs!$A$2:$A$201,$A74,Inputs!$B$2:$B$201,$B74)+SUMIFS(Inputs!$D$2:$D$201,Inputs!$A$2:$A$201,$A74,Inputs!$B$2:$B$201,$B74)+SUMIFS(Inputs!$G$2:$G$201,Inputs!$A$2:$A$201,$A74,Inputs!$B$2:$B$201,$B74)*+SUMIFS(Inputs!$X$2:$X$201,Inputs!$W$2:$W$201,$A74,Inputs!$V$2:$V$201,$B74)</f>
        <v>0.0</v>
      </c>
      <c r="D74" s="26">
        <f ca="1">IFERROR(SUMIFS(Inputs!$G$2:$G$201,Inputs!$A$2:$A$201,$A74,Inputs!$B$2:$B$201,$B74)/SUMIFS(Inputs!$C$2:$C$201,Inputs!$A$2:$A$201,$A74,Inputs!$B$2:$B$201,$B74),0)</f>
        <v>0.0</v>
      </c>
      <c r="E74" s="25">
        <f ca="1">SUMIFS(Inputs!$F$2:$F$201,Inputs!$A$2:$A$201,$A74,Inputs!$B$2:$B$201,$B74)+SUMIFS(Inputs!$D$2:$D$201,Inputs!$A$2:$A$201,$A74,Inputs!$B$2:$B$201,$B74)+SUMIFS(Inputs!$H$2:$H$201,Inputs!$A$2:$A$201,$A74,Inputs!$B$2:$B$201,$B74)*+SUMIFS(Inputs!$X$2:$X$201,Inputs!$W$2:$W$201,$A74,Inputs!$V$2:$V$201,$B74)</f>
        <v>0.0</v>
      </c>
      <c r="F74" s="26">
        <f ca="1">IFERROR(SUMIFS(Inputs!$H$2:$H$201,Inputs!$A$2:$A$201,$A74,Inputs!$B$2:$B$201,$B74)/SUMIFS(Inputs!$C$2:$C$201,Inputs!$A$2:$A$201,$A74,Inputs!$B$2:$B$201,$B74),0)</f>
        <v>0.0</v>
      </c>
      <c r="G74" s="27">
        <f ca="1">D74*SUMIFS(Inputs!$R$2:$R$23,Inputs!$P$2:$P$23,$B74)/SUMIFS(Inputs!$Q$2:$Q$23,Inputs!$P$2:$P$23,$B74)</f>
        <v>0.0</v>
      </c>
      <c r="H74" s="27">
        <f ca="1">MAX(G74,$H$1)</f>
        <v>0.0</v>
      </c>
      <c r="I74" s="27">
        <f ca="1">MIN(G74,$I$1)</f>
        <v>0.0</v>
      </c>
    </row>
    <row r="75" spans="1:9" x14ac:dyDescent="0.3">
      <c r="A75" s="24">
        <v>2018</v>
      </c>
      <c r="B75" s="24" cm="1" t="str">
        <f t="array" aca="1" ref="B75" ca="1">INDIRECT("'Params'!A" &amp; (QUOTIENT(ROW(A75)-4, 10) + 1))</f>
        <v>LIIND</v>
      </c>
      <c r="C75" s="25">
        <f ca="1">SUMIFS(Inputs!$F$2:$F$201,Inputs!$A$2:$A$201,$A75,Inputs!$B$2:$B$201,$B75)+SUMIFS(Inputs!$D$2:$D$201,Inputs!$A$2:$A$201,$A75,Inputs!$B$2:$B$201,$B75)+SUMIFS(Inputs!$G$2:$G$201,Inputs!$A$2:$A$201,$A75,Inputs!$B$2:$B$201,$B75)*+SUMIFS(Inputs!$X$2:$X$201,Inputs!$W$2:$W$201,$A75,Inputs!$V$2:$V$201,$B75)</f>
        <v>0.0</v>
      </c>
      <c r="D75" s="26">
        <f ca="1">IFERROR(SUMIFS(Inputs!$G$2:$G$201,Inputs!$A$2:$A$201,$A75,Inputs!$B$2:$B$201,$B75)/SUMIFS(Inputs!$C$2:$C$201,Inputs!$A$2:$A$201,$A75,Inputs!$B$2:$B$201,$B75),0)</f>
        <v>0.0</v>
      </c>
      <c r="E75" s="25">
        <f ca="1">SUMIFS(Inputs!$F$2:$F$201,Inputs!$A$2:$A$201,$A75,Inputs!$B$2:$B$201,$B75)+SUMIFS(Inputs!$D$2:$D$201,Inputs!$A$2:$A$201,$A75,Inputs!$B$2:$B$201,$B75)+SUMIFS(Inputs!$H$2:$H$201,Inputs!$A$2:$A$201,$A75,Inputs!$B$2:$B$201,$B75)*+SUMIFS(Inputs!$X$2:$X$201,Inputs!$W$2:$W$201,$A75,Inputs!$V$2:$V$201,$B75)</f>
        <v>0.0</v>
      </c>
      <c r="F75" s="26">
        <f ca="1">IFERROR(SUMIFS(Inputs!$H$2:$H$201,Inputs!$A$2:$A$201,$A75,Inputs!$B$2:$B$201,$B75)/SUMIFS(Inputs!$C$2:$C$201,Inputs!$A$2:$A$201,$A75,Inputs!$B$2:$B$201,$B75),0)</f>
        <v>0.0</v>
      </c>
      <c r="G75" s="27">
        <f ca="1">D75*SUMIFS(Inputs!$R$2:$R$23,Inputs!$P$2:$P$23,$B75)/SUMIFS(Inputs!$Q$2:$Q$23,Inputs!$P$2:$P$23,$B75)</f>
        <v>0.0</v>
      </c>
      <c r="H75" s="27">
        <f ca="1">MAX(G75,$H$1)</f>
        <v>0.0</v>
      </c>
      <c r="I75" s="27">
        <f ca="1">MIN(G75,$I$1)</f>
        <v>0.0</v>
      </c>
    </row>
    <row r="76" spans="1:9" x14ac:dyDescent="0.3">
      <c r="A76" s="24">
        <v>2019</v>
      </c>
      <c r="B76" s="24" cm="1" t="str">
        <f t="array" aca="1" ref="B76" ca="1">INDIRECT("'Params'!A" &amp; (QUOTIENT(ROW(A76)-4, 10) + 1))</f>
        <v>LIIND</v>
      </c>
      <c r="C76" s="25">
        <f ca="1">SUMIFS(Inputs!$F$2:$F$201,Inputs!$A$2:$A$201,$A76,Inputs!$B$2:$B$201,$B76)+SUMIFS(Inputs!$D$2:$D$201,Inputs!$A$2:$A$201,$A76,Inputs!$B$2:$B$201,$B76)+SUMIFS(Inputs!$G$2:$G$201,Inputs!$A$2:$A$201,$A76,Inputs!$B$2:$B$201,$B76)*+SUMIFS(Inputs!$X$2:$X$201,Inputs!$W$2:$W$201,$A76,Inputs!$V$2:$V$201,$B76)</f>
        <v>0.0</v>
      </c>
      <c r="D76" s="26">
        <f ca="1">IFERROR(SUMIFS(Inputs!$G$2:$G$201,Inputs!$A$2:$A$201,$A76,Inputs!$B$2:$B$201,$B76)/SUMIFS(Inputs!$C$2:$C$201,Inputs!$A$2:$A$201,$A76,Inputs!$B$2:$B$201,$B76),0)</f>
        <v>0.0</v>
      </c>
      <c r="E76" s="25">
        <f ca="1">SUMIFS(Inputs!$F$2:$F$201,Inputs!$A$2:$A$201,$A76,Inputs!$B$2:$B$201,$B76)+SUMIFS(Inputs!$D$2:$D$201,Inputs!$A$2:$A$201,$A76,Inputs!$B$2:$B$201,$B76)+SUMIFS(Inputs!$H$2:$H$201,Inputs!$A$2:$A$201,$A76,Inputs!$B$2:$B$201,$B76)*+SUMIFS(Inputs!$X$2:$X$201,Inputs!$W$2:$W$201,$A76,Inputs!$V$2:$V$201,$B76)</f>
        <v>0.0</v>
      </c>
      <c r="F76" s="26">
        <f ca="1">IFERROR(SUMIFS(Inputs!$H$2:$H$201,Inputs!$A$2:$A$201,$A76,Inputs!$B$2:$B$201,$B76)/SUMIFS(Inputs!$C$2:$C$201,Inputs!$A$2:$A$201,$A76,Inputs!$B$2:$B$201,$B76),0)</f>
        <v>0.0</v>
      </c>
      <c r="G76" s="27">
        <f ca="1">D76*SUMIFS(Inputs!$R$2:$R$23,Inputs!$P$2:$P$23,$B76)/SUMIFS(Inputs!$Q$2:$Q$23,Inputs!$P$2:$P$23,$B76)</f>
        <v>0.0</v>
      </c>
      <c r="H76" s="27">
        <f ca="1">MAX(G76,$H$1)</f>
        <v>0.0</v>
      </c>
      <c r="I76" s="27">
        <f ca="1">MIN(G76,$I$1)</f>
        <v>0.0</v>
      </c>
    </row>
    <row r="77" spans="1:9" x14ac:dyDescent="0.3">
      <c r="A77" s="24">
        <v>2020</v>
      </c>
      <c r="B77" s="24" cm="1" t="str">
        <f t="array" aca="1" ref="B77" ca="1">INDIRECT("'Params'!A" &amp; (QUOTIENT(ROW(A77)-4, 10) + 1))</f>
        <v>LIIND</v>
      </c>
      <c r="C77" s="25">
        <f ca="1">SUMIFS(Inputs!$F$2:$F$201,Inputs!$A$2:$A$201,$A77,Inputs!$B$2:$B$201,$B77)+SUMIFS(Inputs!$D$2:$D$201,Inputs!$A$2:$A$201,$A77,Inputs!$B$2:$B$201,$B77)+SUMIFS(Inputs!$G$2:$G$201,Inputs!$A$2:$A$201,$A77,Inputs!$B$2:$B$201,$B77)*+SUMIFS(Inputs!$X$2:$X$201,Inputs!$W$2:$W$201,$A77,Inputs!$V$2:$V$201,$B77)</f>
        <v>0.0</v>
      </c>
      <c r="D77" s="26">
        <f ca="1">IFERROR(SUMIFS(Inputs!$G$2:$G$201,Inputs!$A$2:$A$201,$A77,Inputs!$B$2:$B$201,$B77)/SUMIFS(Inputs!$C$2:$C$201,Inputs!$A$2:$A$201,$A77,Inputs!$B$2:$B$201,$B77),0)</f>
        <v>0.0</v>
      </c>
      <c r="E77" s="25">
        <f ca="1">SUMIFS(Inputs!$F$2:$F$201,Inputs!$A$2:$A$201,$A77,Inputs!$B$2:$B$201,$B77)+SUMIFS(Inputs!$D$2:$D$201,Inputs!$A$2:$A$201,$A77,Inputs!$B$2:$B$201,$B77)+SUMIFS(Inputs!$H$2:$H$201,Inputs!$A$2:$A$201,$A77,Inputs!$B$2:$B$201,$B77)*+SUMIFS(Inputs!$X$2:$X$201,Inputs!$W$2:$W$201,$A77,Inputs!$V$2:$V$201,$B77)</f>
        <v>0.0</v>
      </c>
      <c r="F77" s="26">
        <f ca="1">IFERROR(SUMIFS(Inputs!$H$2:$H$201,Inputs!$A$2:$A$201,$A77,Inputs!$B$2:$B$201,$B77)/SUMIFS(Inputs!$C$2:$C$201,Inputs!$A$2:$A$201,$A77,Inputs!$B$2:$B$201,$B77),0)</f>
        <v>0.0</v>
      </c>
      <c r="G77" s="27">
        <f ca="1">D77*SUMIFS(Inputs!$R$2:$R$23,Inputs!$P$2:$P$23,$B77)/SUMIFS(Inputs!$Q$2:$Q$23,Inputs!$P$2:$P$23,$B77)</f>
        <v>0.0</v>
      </c>
      <c r="H77" s="27">
        <f ca="1">MAX(G77,$H$1)</f>
        <v>0.0</v>
      </c>
      <c r="I77" s="27">
        <f ca="1">MIN(G77,$I$1)</f>
        <v>0.0</v>
      </c>
    </row>
    <row r="78" spans="1:9" x14ac:dyDescent="0.3">
      <c r="A78" s="24">
        <v>2021</v>
      </c>
      <c r="B78" s="24" cm="1" t="str">
        <f t="array" aca="1" ref="B78" ca="1">INDIRECT("'Params'!A" &amp; (QUOTIENT(ROW(A78)-4, 10) + 1))</f>
        <v>LIIND</v>
      </c>
      <c r="C78" s="25">
        <f ca="1">SUMIFS(Inputs!$F$2:$F$201,Inputs!$A$2:$A$201,$A78,Inputs!$B$2:$B$201,$B78)+SUMIFS(Inputs!$D$2:$D$201,Inputs!$A$2:$A$201,$A78,Inputs!$B$2:$B$201,$B78)+SUMIFS(Inputs!$G$2:$G$201,Inputs!$A$2:$A$201,$A78,Inputs!$B$2:$B$201,$B78)*+SUMIFS(Inputs!$X$2:$X$201,Inputs!$W$2:$W$201,$A78,Inputs!$V$2:$V$201,$B78)</f>
        <v>0.0</v>
      </c>
      <c r="D78" s="26">
        <f ca="1">IFERROR(SUMIFS(Inputs!$G$2:$G$201,Inputs!$A$2:$A$201,$A78,Inputs!$B$2:$B$201,$B78)/SUMIFS(Inputs!$C$2:$C$201,Inputs!$A$2:$A$201,$A78,Inputs!$B$2:$B$201,$B78),0)</f>
        <v>0.0</v>
      </c>
      <c r="E78" s="25">
        <f ca="1">SUMIFS(Inputs!$F$2:$F$201,Inputs!$A$2:$A$201,$A78,Inputs!$B$2:$B$201,$B78)+SUMIFS(Inputs!$D$2:$D$201,Inputs!$A$2:$A$201,$A78,Inputs!$B$2:$B$201,$B78)+SUMIFS(Inputs!$H$2:$H$201,Inputs!$A$2:$A$201,$A78,Inputs!$B$2:$B$201,$B78)*+SUMIFS(Inputs!$X$2:$X$201,Inputs!$W$2:$W$201,$A78,Inputs!$V$2:$V$201,$B78)</f>
        <v>0.0</v>
      </c>
      <c r="F78" s="26">
        <f ca="1">IFERROR(SUMIFS(Inputs!$H$2:$H$201,Inputs!$A$2:$A$201,$A78,Inputs!$B$2:$B$201,$B78)/SUMIFS(Inputs!$C$2:$C$201,Inputs!$A$2:$A$201,$A78,Inputs!$B$2:$B$201,$B78),0)</f>
        <v>0.0</v>
      </c>
      <c r="G78" s="27">
        <f ca="1">D78*SUMIFS(Inputs!$R$2:$R$23,Inputs!$P$2:$P$23,$B78)/SUMIFS(Inputs!$Q$2:$Q$23,Inputs!$P$2:$P$23,$B78)</f>
        <v>0.0</v>
      </c>
      <c r="H78" s="27">
        <f ca="1">MAX(G78,$H$1)</f>
        <v>0.0</v>
      </c>
      <c r="I78" s="27">
        <f ca="1">MIN(G78,$I$1)</f>
        <v>0.0</v>
      </c>
    </row>
    <row r="79" spans="1:9" x14ac:dyDescent="0.3">
      <c r="A79" s="24">
        <v>2022</v>
      </c>
      <c r="B79" s="24" cm="1" t="str">
        <f t="array" aca="1" ref="B79" ca="1">INDIRECT("'Params'!A" &amp; (QUOTIENT(ROW(A79)-4, 10) + 1))</f>
        <v>LIIND</v>
      </c>
      <c r="C79" s="25">
        <f ca="1">SUMIFS(Inputs!$F$2:$F$201,Inputs!$A$2:$A$201,$A79,Inputs!$B$2:$B$201,$B79)+SUMIFS(Inputs!$D$2:$D$201,Inputs!$A$2:$A$201,$A79,Inputs!$B$2:$B$201,$B79)+SUMIFS(Inputs!$G$2:$G$201,Inputs!$A$2:$A$201,$A79,Inputs!$B$2:$B$201,$B79)*+SUMIFS(Inputs!$X$2:$X$201,Inputs!$W$2:$W$201,$A79,Inputs!$V$2:$V$201,$B79)</f>
        <v>0.0</v>
      </c>
      <c r="D79" s="26">
        <f ca="1">IFERROR(SUMIFS(Inputs!$G$2:$G$201,Inputs!$A$2:$A$201,$A79,Inputs!$B$2:$B$201,$B79)/SUMIFS(Inputs!$C$2:$C$201,Inputs!$A$2:$A$201,$A79,Inputs!$B$2:$B$201,$B79),0)</f>
        <v>0.0</v>
      </c>
      <c r="E79" s="25">
        <f ca="1">SUMIFS(Inputs!$F$2:$F$201,Inputs!$A$2:$A$201,$A79,Inputs!$B$2:$B$201,$B79)+SUMIFS(Inputs!$D$2:$D$201,Inputs!$A$2:$A$201,$A79,Inputs!$B$2:$B$201,$B79)+SUMIFS(Inputs!$H$2:$H$201,Inputs!$A$2:$A$201,$A79,Inputs!$B$2:$B$201,$B79)*+SUMIFS(Inputs!$X$2:$X$201,Inputs!$W$2:$W$201,$A79,Inputs!$V$2:$V$201,$B79)</f>
        <v>0.0</v>
      </c>
      <c r="F79" s="26">
        <f ca="1">IFERROR(SUMIFS(Inputs!$H$2:$H$201,Inputs!$A$2:$A$201,$A79,Inputs!$B$2:$B$201,$B79)/SUMIFS(Inputs!$C$2:$C$201,Inputs!$A$2:$A$201,$A79,Inputs!$B$2:$B$201,$B79),0)</f>
        <v>0.0</v>
      </c>
      <c r="G79" s="27">
        <f ca="1">D79*SUMIFS(Inputs!$R$2:$R$23,Inputs!$P$2:$P$23,$B79)/SUMIFS(Inputs!$Q$2:$Q$23,Inputs!$P$2:$P$23,$B79)</f>
        <v>0.0</v>
      </c>
      <c r="H79" s="27">
        <f ca="1">MAX(G79,$H$1)</f>
        <v>0.0</v>
      </c>
      <c r="I79" s="27">
        <f ca="1">MIN(G79,$I$1)</f>
        <v>0.0</v>
      </c>
    </row>
    <row r="80" spans="1:9" x14ac:dyDescent="0.3">
      <c r="A80" s="24">
        <v>2023</v>
      </c>
      <c r="B80" s="24" cm="1" t="str">
        <f t="array" aca="1" ref="B80" ca="1">INDIRECT("'Params'!A" &amp; (QUOTIENT(ROW(A80)-4, 10) + 1))</f>
        <v>LIIND</v>
      </c>
      <c r="C80" s="25">
        <f ca="1">SUMIFS(Inputs!$F$2:$F$201,Inputs!$A$2:$A$201,$A80,Inputs!$B$2:$B$201,$B80)+SUMIFS(Inputs!$D$2:$D$201,Inputs!$A$2:$A$201,$A80,Inputs!$B$2:$B$201,$B80)+SUMIFS(Inputs!$G$2:$G$201,Inputs!$A$2:$A$201,$A80,Inputs!$B$2:$B$201,$B80)*+SUMIFS(Inputs!$X$2:$X$201,Inputs!$W$2:$W$201,$A80,Inputs!$V$2:$V$201,$B80)</f>
        <v>106558.28990301488</v>
      </c>
      <c r="D80" s="26">
        <f ca="1">IFERROR(SUMIFS(Inputs!$G$2:$G$201,Inputs!$A$2:$A$201,$A80,Inputs!$B$2:$B$201,$B80)/SUMIFS(Inputs!$C$2:$C$201,Inputs!$A$2:$A$201,$A80,Inputs!$B$2:$B$201,$B80),0)</f>
        <v>0.00296538965785924</v>
      </c>
      <c r="E80" s="25">
        <f ca="1">SUMIFS(Inputs!$F$2:$F$201,Inputs!$A$2:$A$201,$A80,Inputs!$B$2:$B$201,$B80)+SUMIFS(Inputs!$D$2:$D$201,Inputs!$A$2:$A$201,$A80,Inputs!$B$2:$B$201,$B80)+SUMIFS(Inputs!$H$2:$H$201,Inputs!$A$2:$A$201,$A80,Inputs!$B$2:$B$201,$B80)*+SUMIFS(Inputs!$X$2:$X$201,Inputs!$W$2:$W$201,$A80,Inputs!$V$2:$V$201,$B80)</f>
        <v>117141.48132013853</v>
      </c>
      <c r="F80" s="26">
        <f ca="1">IFERROR(SUMIFS(Inputs!$H$2:$H$201,Inputs!$A$2:$A$201,$A80,Inputs!$B$2:$B$201,$B80)/SUMIFS(Inputs!$C$2:$C$201,Inputs!$A$2:$A$201,$A80,Inputs!$B$2:$B$201,$B80),0)</f>
        <v>0.00325990720693071</v>
      </c>
      <c r="G80" s="27">
        <f ca="1">D80*SUMIFS(Inputs!$R$2:$R$23,Inputs!$P$2:$P$23,$B80)/SUMIFS(Inputs!$Q$2:$Q$23,Inputs!$P$2:$P$23,$B80)</f>
        <v>0.0003712857332263508</v>
      </c>
      <c r="H80" s="27">
        <f ca="1">MAX(G80,$H$1)</f>
        <v>0.0003712857332263508</v>
      </c>
      <c r="I80" s="27">
        <f ca="1">MIN(G80,$I$1)</f>
        <v>0.0003712857332263508</v>
      </c>
    </row>
    <row r="81" spans="1:9" x14ac:dyDescent="0.3">
      <c r="A81" s="24">
        <v>2024</v>
      </c>
      <c r="B81" s="24" cm="1" t="str">
        <f t="array" aca="1" ref="B81" ca="1">INDIRECT("'Params'!A" &amp; (QUOTIENT(ROW(A81)-4, 10) + 1))</f>
        <v>LIIND</v>
      </c>
      <c r="C81" s="25">
        <f ca="1">SUMIFS(Inputs!$F$2:$F$201,Inputs!$A$2:$A$201,$A81,Inputs!$B$2:$B$201,$B81)+SUMIFS(Inputs!$D$2:$D$201,Inputs!$A$2:$A$201,$A81,Inputs!$B$2:$B$201,$B81)+SUMIFS(Inputs!$G$2:$G$201,Inputs!$A$2:$A$201,$A81,Inputs!$B$2:$B$201,$B81)*+SUMIFS(Inputs!$X$2:$X$201,Inputs!$W$2:$W$201,$A81,Inputs!$V$2:$V$201,$B81)</f>
        <v>1934746.4851681907</v>
      </c>
      <c r="D81" s="26">
        <f ca="1">IFERROR(SUMIFS(Inputs!$G$2:$G$201,Inputs!$A$2:$A$201,$A81,Inputs!$B$2:$B$201,$B81)/SUMIFS(Inputs!$C$2:$C$201,Inputs!$A$2:$A$201,$A81,Inputs!$B$2:$B$201,$B81),0)</f>
        <v>0.07276447975637398</v>
      </c>
      <c r="E81" s="25">
        <f ca="1">SUMIFS(Inputs!$F$2:$F$201,Inputs!$A$2:$A$201,$A81,Inputs!$B$2:$B$201,$B81)+SUMIFS(Inputs!$D$2:$D$201,Inputs!$A$2:$A$201,$A81,Inputs!$B$2:$B$201,$B81)+SUMIFS(Inputs!$H$2:$H$201,Inputs!$A$2:$A$201,$A81,Inputs!$B$2:$B$201,$B81)*+SUMIFS(Inputs!$X$2:$X$201,Inputs!$W$2:$W$201,$A81,Inputs!$V$2:$V$201,$B81)</f>
        <v>2121803.389120216</v>
      </c>
      <c r="F81" s="26">
        <f ca="1">IFERROR(SUMIFS(Inputs!$H$2:$H$201,Inputs!$A$2:$A$201,$A81,Inputs!$B$2:$B$201,$B81)/SUMIFS(Inputs!$C$2:$C$201,Inputs!$A$2:$A$201,$A81,Inputs!$B$2:$B$201,$B81),0)</f>
        <v>0.08005602349105123</v>
      </c>
      <c r="G81" s="27">
        <f ca="1">D81*SUMIFS(Inputs!$R$2:$R$23,Inputs!$P$2:$P$23,$B81)/SUMIFS(Inputs!$Q$2:$Q$23,Inputs!$P$2:$P$23,$B81)</f>
        <v>0.009110577811444462</v>
      </c>
      <c r="H81" s="27">
        <f ca="1">MAX(G81,$H$1)</f>
        <v>0.009110577811444462</v>
      </c>
      <c r="I81" s="27">
        <f ca="1">MIN(G81,$I$1)</f>
        <v>0.009110577811444462</v>
      </c>
    </row>
    <row r="82" spans="1:9" x14ac:dyDescent="0.3">
      <c r="A82" s="24">
        <v>2025</v>
      </c>
      <c r="B82" s="24" cm="1" t="str">
        <f t="array" aca="1" ref="B82" ca="1">INDIRECT("'Params'!A" &amp; (QUOTIENT(ROW(A82)-4, 10) + 1))</f>
        <v>LIIND</v>
      </c>
      <c r="C82" s="25">
        <f ca="1">SUMIFS(Inputs!$F$2:$F$201,Inputs!$A$2:$A$201,$A82,Inputs!$B$2:$B$201,$B82)+SUMIFS(Inputs!$D$2:$D$201,Inputs!$A$2:$A$201,$A82,Inputs!$B$2:$B$201,$B82)+SUMIFS(Inputs!$G$2:$G$201,Inputs!$A$2:$A$201,$A82,Inputs!$B$2:$B$201,$B82)*+SUMIFS(Inputs!$X$2:$X$201,Inputs!$W$2:$W$201,$A82,Inputs!$V$2:$V$201,$B82)</f>
        <v>23030164.277657736</v>
      </c>
      <c r="D82" s="26">
        <f ca="1">IFERROR(SUMIFS(Inputs!$G$2:$G$201,Inputs!$A$2:$A$201,$A82,Inputs!$B$2:$B$201,$B82)/SUMIFS(Inputs!$C$2:$C$201,Inputs!$A$2:$A$201,$A82,Inputs!$B$2:$B$201,$B82),0)</f>
        <v>0.7985130279831084</v>
      </c>
      <c r="E82" s="25">
        <f ca="1">SUMIFS(Inputs!$F$2:$F$201,Inputs!$A$2:$A$201,$A82,Inputs!$B$2:$B$201,$B82)+SUMIFS(Inputs!$D$2:$D$201,Inputs!$A$2:$A$201,$A82,Inputs!$B$2:$B$201,$B82)+SUMIFS(Inputs!$H$2:$H$201,Inputs!$A$2:$A$201,$A82,Inputs!$B$2:$B$201,$B82)*+SUMIFS(Inputs!$X$2:$X$201,Inputs!$W$2:$W$201,$A82,Inputs!$V$2:$V$201,$B82)</f>
        <v>25375955.963517062</v>
      </c>
      <c r="F82" s="26">
        <f ca="1">IFERROR(SUMIFS(Inputs!$H$2:$H$201,Inputs!$A$2:$A$201,$A82,Inputs!$B$2:$B$201,$B82)/SUMIFS(Inputs!$C$2:$C$201,Inputs!$A$2:$A$201,$A82,Inputs!$B$2:$B$201,$B82),0)</f>
        <v>0.8826897043547003</v>
      </c>
      <c r="G82" s="27">
        <f ca="1">D82*SUMIFS(Inputs!$R$2:$R$23,Inputs!$P$2:$P$23,$B82)/SUMIFS(Inputs!$Q$2:$Q$23,Inputs!$P$2:$P$23,$B82)</f>
        <v>0.09997893339235993</v>
      </c>
      <c r="H82" s="27">
        <f ca="1">MAX(G82,$H$1)</f>
        <v>0.09997893339235993</v>
      </c>
      <c r="I82" s="27">
        <f ca="1">MIN(G82,$I$1)</f>
        <v>0.09997893339235993</v>
      </c>
    </row>
    <row r="83" spans="1:9" x14ac:dyDescent="0.3">
      <c r="A83" s="24">
        <v>2026</v>
      </c>
      <c r="B83" s="24" cm="1" t="str">
        <f t="array" aca="1" ref="B83" ca="1">INDIRECT("'Params'!A" &amp; (QUOTIENT(ROW(A83)-4, 10) + 1))</f>
        <v>LIIND</v>
      </c>
      <c r="C83" s="25">
        <f ca="1">SUMIFS(Inputs!$F$2:$F$201,Inputs!$A$2:$A$201,$A83,Inputs!$B$2:$B$201,$B83)+SUMIFS(Inputs!$D$2:$D$201,Inputs!$A$2:$A$201,$A83,Inputs!$B$2:$B$201,$B83)+SUMIFS(Inputs!$G$2:$G$201,Inputs!$A$2:$A$201,$A83,Inputs!$B$2:$B$201,$B83)*+SUMIFS(Inputs!$X$2:$X$201,Inputs!$W$2:$W$201,$A83,Inputs!$V$2:$V$201,$B83)</f>
        <v>6854001.813037512</v>
      </c>
      <c r="D83" s="26">
        <f ca="1">IFERROR(SUMIFS(Inputs!$G$2:$G$201,Inputs!$A$2:$A$201,$A83,Inputs!$B$2:$B$201,$B83)/SUMIFS(Inputs!$C$2:$C$201,Inputs!$A$2:$A$201,$A83,Inputs!$B$2:$B$201,$B83),0)</f>
        <v>0.9061962416848678</v>
      </c>
      <c r="E83" s="25">
        <f ca="1">SUMIFS(Inputs!$F$2:$F$201,Inputs!$A$2:$A$201,$A83,Inputs!$B$2:$B$201,$B83)+SUMIFS(Inputs!$D$2:$D$201,Inputs!$A$2:$A$201,$A83,Inputs!$B$2:$B$201,$B83)+SUMIFS(Inputs!$H$2:$H$201,Inputs!$A$2:$A$201,$A83,Inputs!$B$2:$B$201,$B83)*+SUMIFS(Inputs!$X$2:$X$201,Inputs!$W$2:$W$201,$A83,Inputs!$V$2:$V$201,$B83)</f>
        <v>7724209.080445945</v>
      </c>
      <c r="F83" s="26">
        <f ca="1">IFERROR(SUMIFS(Inputs!$H$2:$H$201,Inputs!$A$2:$A$201,$A83,Inputs!$B$2:$B$201,$B83)/SUMIFS(Inputs!$C$2:$C$201,Inputs!$A$2:$A$201,$A83,Inputs!$B$2:$B$201,$B83),0)</f>
        <v>1.0215038741398557</v>
      </c>
      <c r="G83" s="27">
        <f ca="1">D83*SUMIFS(Inputs!$R$2:$R$23,Inputs!$P$2:$P$23,$B83)/SUMIFS(Inputs!$Q$2:$Q$23,Inputs!$P$2:$P$23,$B83)</f>
        <v>0.1134615598153207</v>
      </c>
      <c r="H83" s="27">
        <f ca="1">MAX(G83,$H$1)</f>
        <v>0.1134615598153207</v>
      </c>
      <c r="I83" s="27">
        <f ca="1">MIN(G83,$I$1)</f>
        <v>0.1134615598153207</v>
      </c>
    </row>
    <row r="84" spans="1:9" x14ac:dyDescent="0.3">
      <c r="A84" s="24">
        <v>2017</v>
      </c>
      <c r="B84" s="24" cm="1" t="str">
        <f t="array" aca="1" ref="B84" ca="1">INDIRECT("'Params'!A" &amp; (QUOTIENT(ROW(A84)-4, 10) + 1))</f>
        <v>LISHT</v>
      </c>
      <c r="C84" s="25">
        <f ca="1">SUMIFS(Inputs!$F$2:$F$201,Inputs!$A$2:$A$201,$A84,Inputs!$B$2:$B$201,$B84)+SUMIFS(Inputs!$D$2:$D$201,Inputs!$A$2:$A$201,$A84,Inputs!$B$2:$B$201,$B84)+SUMIFS(Inputs!$G$2:$G$201,Inputs!$A$2:$A$201,$A84,Inputs!$B$2:$B$201,$B84)*+SUMIFS(Inputs!$X$2:$X$201,Inputs!$W$2:$W$201,$A84,Inputs!$V$2:$V$201,$B84)</f>
        <v>-1.1368683772161603e-13</v>
      </c>
      <c r="D84" s="26">
        <f ca="1">IFERROR(SUMIFS(Inputs!$G$2:$G$201,Inputs!$A$2:$A$201,$A84,Inputs!$B$2:$B$201,$B84)/SUMIFS(Inputs!$C$2:$C$201,Inputs!$A$2:$A$201,$A84,Inputs!$B$2:$B$201,$B84),0)</f>
        <v>0.0</v>
      </c>
      <c r="E84" s="25">
        <f ca="1">SUMIFS(Inputs!$F$2:$F$201,Inputs!$A$2:$A$201,$A84,Inputs!$B$2:$B$201,$B84)+SUMIFS(Inputs!$D$2:$D$201,Inputs!$A$2:$A$201,$A84,Inputs!$B$2:$B$201,$B84)+SUMIFS(Inputs!$H$2:$H$201,Inputs!$A$2:$A$201,$A84,Inputs!$B$2:$B$201,$B84)*+SUMIFS(Inputs!$X$2:$X$201,Inputs!$W$2:$W$201,$A84,Inputs!$V$2:$V$201,$B84)</f>
        <v>-1.1368683772161603e-13</v>
      </c>
      <c r="F84" s="26">
        <f ca="1">IFERROR(SUMIFS(Inputs!$H$2:$H$201,Inputs!$A$2:$A$201,$A84,Inputs!$B$2:$B$201,$B84)/SUMIFS(Inputs!$C$2:$C$201,Inputs!$A$2:$A$201,$A84,Inputs!$B$2:$B$201,$B84),0)</f>
        <v>0.0</v>
      </c>
      <c r="G84" s="27">
        <f ca="1">D84*SUMIFS(Inputs!$R$2:$R$23,Inputs!$P$2:$P$23,$B84)/SUMIFS(Inputs!$Q$2:$Q$23,Inputs!$P$2:$P$23,$B84)</f>
        <v>0.0</v>
      </c>
      <c r="H84" s="27">
        <f ca="1">MAX(G84,$H$1)</f>
        <v>0.0</v>
      </c>
      <c r="I84" s="27">
        <f ca="1">MIN(G84,$I$1)</f>
        <v>0.0</v>
      </c>
    </row>
    <row r="85" spans="1:9" x14ac:dyDescent="0.3">
      <c r="A85" s="24">
        <v>2018</v>
      </c>
      <c r="B85" s="24" cm="1" t="str">
        <f t="array" aca="1" ref="B85" ca="1">INDIRECT("'Params'!A" &amp; (QUOTIENT(ROW(A85)-4, 10) + 1))</f>
        <v>LISHT</v>
      </c>
      <c r="C85" s="25">
        <f ca="1">SUMIFS(Inputs!$F$2:$F$201,Inputs!$A$2:$A$201,$A85,Inputs!$B$2:$B$201,$B85)+SUMIFS(Inputs!$D$2:$D$201,Inputs!$A$2:$A$201,$A85,Inputs!$B$2:$B$201,$B85)+SUMIFS(Inputs!$G$2:$G$201,Inputs!$A$2:$A$201,$A85,Inputs!$B$2:$B$201,$B85)*+SUMIFS(Inputs!$X$2:$X$201,Inputs!$W$2:$W$201,$A85,Inputs!$V$2:$V$201,$B85)</f>
        <v>390911.4539208533</v>
      </c>
      <c r="D85" s="26">
        <f ca="1">IFERROR(SUMIFS(Inputs!$G$2:$G$201,Inputs!$A$2:$A$201,$A85,Inputs!$B$2:$B$201,$B85)/SUMIFS(Inputs!$C$2:$C$201,Inputs!$A$2:$A$201,$A85,Inputs!$B$2:$B$201,$B85),0)</f>
        <v>0.016075698944898898</v>
      </c>
      <c r="E85" s="25">
        <f ca="1">SUMIFS(Inputs!$F$2:$F$201,Inputs!$A$2:$A$201,$A85,Inputs!$B$2:$B$201,$B85)+SUMIFS(Inputs!$D$2:$D$201,Inputs!$A$2:$A$201,$A85,Inputs!$B$2:$B$201,$B85)+SUMIFS(Inputs!$H$2:$H$201,Inputs!$A$2:$A$201,$A85,Inputs!$B$2:$B$201,$B85)*+SUMIFS(Inputs!$X$2:$X$201,Inputs!$W$2:$W$201,$A85,Inputs!$V$2:$V$201,$B85)</f>
        <v>398023.07234650606</v>
      </c>
      <c r="F85" s="26">
        <f ca="1">IFERROR(SUMIFS(Inputs!$H$2:$H$201,Inputs!$A$2:$A$201,$A85,Inputs!$B$2:$B$201,$B85)/SUMIFS(Inputs!$C$2:$C$201,Inputs!$A$2:$A$201,$A85,Inputs!$B$2:$B$201,$B85),0)</f>
        <v>0.01762159067504773</v>
      </c>
      <c r="G85" s="27">
        <f ca="1">D85*SUMIFS(Inputs!$R$2:$R$23,Inputs!$P$2:$P$23,$B85)/SUMIFS(Inputs!$Q$2:$Q$23,Inputs!$P$2:$P$23,$B85)</f>
        <v>0.0022808171506350054</v>
      </c>
      <c r="H85" s="27">
        <f ca="1">MAX(G85,$H$1)</f>
        <v>0.0022808171506350054</v>
      </c>
      <c r="I85" s="27">
        <f ca="1">MIN(G85,$I$1)</f>
        <v>0.0022808171506350054</v>
      </c>
    </row>
    <row r="86" spans="1:9" x14ac:dyDescent="0.3">
      <c r="A86" s="24">
        <v>2019</v>
      </c>
      <c r="B86" s="24" cm="1" t="str">
        <f t="array" aca="1" ref="B86" ca="1">INDIRECT("'Params'!A" &amp; (QUOTIENT(ROW(A86)-4, 10) + 1))</f>
        <v>LISHT</v>
      </c>
      <c r="C86" s="25">
        <f ca="1">SUMIFS(Inputs!$F$2:$F$201,Inputs!$A$2:$A$201,$A86,Inputs!$B$2:$B$201,$B86)+SUMIFS(Inputs!$D$2:$D$201,Inputs!$A$2:$A$201,$A86,Inputs!$B$2:$B$201,$B86)+SUMIFS(Inputs!$G$2:$G$201,Inputs!$A$2:$A$201,$A86,Inputs!$B$2:$B$201,$B86)*+SUMIFS(Inputs!$X$2:$X$201,Inputs!$W$2:$W$201,$A86,Inputs!$V$2:$V$201,$B86)</f>
        <v>854182.6249554136</v>
      </c>
      <c r="D86" s="26">
        <f ca="1">IFERROR(SUMIFS(Inputs!$G$2:$G$201,Inputs!$A$2:$A$201,$A86,Inputs!$B$2:$B$201,$B86)/SUMIFS(Inputs!$C$2:$C$201,Inputs!$A$2:$A$201,$A86,Inputs!$B$2:$B$201,$B86),0)</f>
        <v>0.0383252340706718</v>
      </c>
      <c r="E86" s="25">
        <f ca="1">SUMIFS(Inputs!$F$2:$F$201,Inputs!$A$2:$A$201,$A86,Inputs!$B$2:$B$201,$B86)+SUMIFS(Inputs!$D$2:$D$201,Inputs!$A$2:$A$201,$A86,Inputs!$B$2:$B$201,$B86)+SUMIFS(Inputs!$H$2:$H$201,Inputs!$A$2:$A$201,$A86,Inputs!$B$2:$B$201,$B86)*+SUMIFS(Inputs!$X$2:$X$201,Inputs!$W$2:$W$201,$A86,Inputs!$V$2:$V$201,$B86)</f>
        <v>866492.4696665993</v>
      </c>
      <c r="F86" s="26">
        <f ca="1">IFERROR(SUMIFS(Inputs!$H$2:$H$201,Inputs!$A$2:$A$201,$A86,Inputs!$B$2:$B$201,$B86)/SUMIFS(Inputs!$C$2:$C$201,Inputs!$A$2:$A$201,$A86,Inputs!$B$2:$B$201,$B86),0)</f>
        <v>0.042010713788159904</v>
      </c>
      <c r="G86" s="27">
        <f ca="1">D86*SUMIFS(Inputs!$R$2:$R$23,Inputs!$P$2:$P$23,$B86)/SUMIFS(Inputs!$Q$2:$Q$23,Inputs!$P$2:$P$23,$B86)</f>
        <v>0.00543757702045216</v>
      </c>
      <c r="H86" s="27">
        <f ca="1">MAX(G86,$H$1)</f>
        <v>0.00543757702045216</v>
      </c>
      <c r="I86" s="27">
        <f ca="1">MIN(G86,$I$1)</f>
        <v>0.00543757702045216</v>
      </c>
    </row>
    <row r="87" spans="1:9" x14ac:dyDescent="0.3">
      <c r="A87" s="24">
        <v>2020</v>
      </c>
      <c r="B87" s="24" cm="1" t="str">
        <f t="array" aca="1" ref="B87" ca="1">INDIRECT("'Params'!A" &amp; (QUOTIENT(ROW(A87)-4, 10) + 1))</f>
        <v>LISHT</v>
      </c>
      <c r="C87" s="25">
        <f ca="1">SUMIFS(Inputs!$F$2:$F$201,Inputs!$A$2:$A$201,$A87,Inputs!$B$2:$B$201,$B87)+SUMIFS(Inputs!$D$2:$D$201,Inputs!$A$2:$A$201,$A87,Inputs!$B$2:$B$201,$B87)+SUMIFS(Inputs!$G$2:$G$201,Inputs!$A$2:$A$201,$A87,Inputs!$B$2:$B$201,$B87)*+SUMIFS(Inputs!$X$2:$X$201,Inputs!$W$2:$W$201,$A87,Inputs!$V$2:$V$201,$B87)</f>
        <v>349179.9085773705</v>
      </c>
      <c r="D87" s="26">
        <f ca="1">IFERROR(SUMIFS(Inputs!$G$2:$G$201,Inputs!$A$2:$A$201,$A87,Inputs!$B$2:$B$201,$B87)/SUMIFS(Inputs!$C$2:$C$201,Inputs!$A$2:$A$201,$A87,Inputs!$B$2:$B$201,$B87),0)</f>
        <v>0.02869648779502439</v>
      </c>
      <c r="E87" s="25">
        <f ca="1">SUMIFS(Inputs!$F$2:$F$201,Inputs!$A$2:$A$201,$A87,Inputs!$B$2:$B$201,$B87)+SUMIFS(Inputs!$D$2:$D$201,Inputs!$A$2:$A$201,$A87,Inputs!$B$2:$B$201,$B87)+SUMIFS(Inputs!$H$2:$H$201,Inputs!$A$2:$A$201,$A87,Inputs!$B$2:$B$201,$B87)*+SUMIFS(Inputs!$X$2:$X$201,Inputs!$W$2:$W$201,$A87,Inputs!$V$2:$V$201,$B87)</f>
        <v>357686.72732281266</v>
      </c>
      <c r="F87" s="26">
        <f ca="1">IFERROR(SUMIFS(Inputs!$H$2:$H$201,Inputs!$A$2:$A$201,$A87,Inputs!$B$2:$B$201,$B87)/SUMIFS(Inputs!$C$2:$C$201,Inputs!$A$2:$A$201,$A87,Inputs!$B$2:$B$201,$B87),0)</f>
        <v>0.03145603581335312</v>
      </c>
      <c r="G87" s="27">
        <f ca="1">D87*SUMIFS(Inputs!$R$2:$R$23,Inputs!$P$2:$P$23,$B87)/SUMIFS(Inputs!$Q$2:$Q$23,Inputs!$P$2:$P$23,$B87)</f>
        <v>0.004071452305135922</v>
      </c>
      <c r="H87" s="27">
        <f ca="1">MAX(G87,$H$1)</f>
        <v>0.004071452305135922</v>
      </c>
      <c r="I87" s="27">
        <f ca="1">MIN(G87,$I$1)</f>
        <v>0.004071452305135922</v>
      </c>
    </row>
    <row r="88" spans="1:9" x14ac:dyDescent="0.3">
      <c r="A88" s="24">
        <v>2021</v>
      </c>
      <c r="B88" s="24" cm="1" t="str">
        <f t="array" aca="1" ref="B88" ca="1">INDIRECT("'Params'!A" &amp; (QUOTIENT(ROW(A88)-4, 10) + 1))</f>
        <v>LISHT</v>
      </c>
      <c r="C88" s="25">
        <f ca="1">SUMIFS(Inputs!$F$2:$F$201,Inputs!$A$2:$A$201,$A88,Inputs!$B$2:$B$201,$B88)+SUMIFS(Inputs!$D$2:$D$201,Inputs!$A$2:$A$201,$A88,Inputs!$B$2:$B$201,$B88)+SUMIFS(Inputs!$G$2:$G$201,Inputs!$A$2:$A$201,$A88,Inputs!$B$2:$B$201,$B88)*+SUMIFS(Inputs!$X$2:$X$201,Inputs!$W$2:$W$201,$A88,Inputs!$V$2:$V$201,$B88)</f>
        <v>2819576.4556234684</v>
      </c>
      <c r="D88" s="26">
        <f ca="1">IFERROR(SUMIFS(Inputs!$G$2:$G$201,Inputs!$A$2:$A$201,$A88,Inputs!$B$2:$B$201,$B88)/SUMIFS(Inputs!$C$2:$C$201,Inputs!$A$2:$A$201,$A88,Inputs!$B$2:$B$201,$B88),0)</f>
        <v>0.016206594447076502</v>
      </c>
      <c r="E88" s="25">
        <f ca="1">SUMIFS(Inputs!$F$2:$F$201,Inputs!$A$2:$A$201,$A88,Inputs!$B$2:$B$201,$B88)+SUMIFS(Inputs!$D$2:$D$201,Inputs!$A$2:$A$201,$A88,Inputs!$B$2:$B$201,$B88)+SUMIFS(Inputs!$H$2:$H$201,Inputs!$A$2:$A$201,$A88,Inputs!$B$2:$B$201,$B88)*+SUMIFS(Inputs!$X$2:$X$201,Inputs!$W$2:$W$201,$A88,Inputs!$V$2:$V$201,$B88)</f>
        <v>2874409.668493206</v>
      </c>
      <c r="F88" s="26">
        <f ca="1">IFERROR(SUMIFS(Inputs!$H$2:$H$201,Inputs!$A$2:$A$201,$A88,Inputs!$B$2:$B$201,$B88)/SUMIFS(Inputs!$C$2:$C$201,Inputs!$A$2:$A$201,$A88,Inputs!$B$2:$B$201,$B88),0)</f>
        <v>0.01776507351635277</v>
      </c>
      <c r="G88" s="27">
        <f ca="1">D88*SUMIFS(Inputs!$R$2:$R$23,Inputs!$P$2:$P$23,$B88)/SUMIFS(Inputs!$Q$2:$Q$23,Inputs!$P$2:$P$23,$B88)</f>
        <v>0.0022993885799290573</v>
      </c>
      <c r="H88" s="27">
        <f ca="1">MAX(G88,$H$1)</f>
        <v>0.0022993885799290573</v>
      </c>
      <c r="I88" s="27">
        <f ca="1">MIN(G88,$I$1)</f>
        <v>0.0022993885799290573</v>
      </c>
    </row>
    <row r="89" spans="1:9" x14ac:dyDescent="0.3">
      <c r="A89" s="24">
        <v>2022</v>
      </c>
      <c r="B89" s="24" cm="1" t="str">
        <f t="array" aca="1" ref="B89" ca="1">INDIRECT("'Params'!A" &amp; (QUOTIENT(ROW(A89)-4, 10) + 1))</f>
        <v>LISHT</v>
      </c>
      <c r="C89" s="25">
        <f ca="1">SUMIFS(Inputs!$F$2:$F$201,Inputs!$A$2:$A$201,$A89,Inputs!$B$2:$B$201,$B89)+SUMIFS(Inputs!$D$2:$D$201,Inputs!$A$2:$A$201,$A89,Inputs!$B$2:$B$201,$B89)+SUMIFS(Inputs!$G$2:$G$201,Inputs!$A$2:$A$201,$A89,Inputs!$B$2:$B$201,$B89)*+SUMIFS(Inputs!$X$2:$X$201,Inputs!$W$2:$W$201,$A89,Inputs!$V$2:$V$201,$B89)</f>
        <v>2597272.0653984817</v>
      </c>
      <c r="D89" s="26">
        <f ca="1">IFERROR(SUMIFS(Inputs!$G$2:$G$201,Inputs!$A$2:$A$201,$A89,Inputs!$B$2:$B$201,$B89)/SUMIFS(Inputs!$C$2:$C$201,Inputs!$A$2:$A$201,$A89,Inputs!$B$2:$B$201,$B89),0)</f>
        <v>0.06010143921300692</v>
      </c>
      <c r="E89" s="25">
        <f ca="1">SUMIFS(Inputs!$F$2:$F$201,Inputs!$A$2:$A$201,$A89,Inputs!$B$2:$B$201,$B89)+SUMIFS(Inputs!$D$2:$D$201,Inputs!$A$2:$A$201,$A89,Inputs!$B$2:$B$201,$B89)+SUMIFS(Inputs!$H$2:$H$201,Inputs!$A$2:$A$201,$A89,Inputs!$B$2:$B$201,$B89)*+SUMIFS(Inputs!$X$2:$X$201,Inputs!$W$2:$W$201,$A89,Inputs!$V$2:$V$201,$B89)</f>
        <v>2665845.2846527286</v>
      </c>
      <c r="F89" s="26">
        <f ca="1">IFERROR(SUMIFS(Inputs!$H$2:$H$201,Inputs!$A$2:$A$201,$A89,Inputs!$B$2:$B$201,$B89)/SUMIFS(Inputs!$C$2:$C$201,Inputs!$A$2:$A$201,$A89,Inputs!$B$2:$B$201,$B89),0)</f>
        <v>0.06588098996024905</v>
      </c>
      <c r="G89" s="27">
        <f ca="1">D89*SUMIFS(Inputs!$R$2:$R$23,Inputs!$P$2:$P$23,$B89)/SUMIFS(Inputs!$Q$2:$Q$23,Inputs!$P$2:$P$23,$B89)</f>
        <v>0.008527180921011925</v>
      </c>
      <c r="H89" s="27">
        <f ca="1">MAX(G89,$H$1)</f>
        <v>0.008527180921011925</v>
      </c>
      <c r="I89" s="27">
        <f ca="1">MIN(G89,$I$1)</f>
        <v>0.008527180921011925</v>
      </c>
    </row>
    <row r="90" spans="1:9" x14ac:dyDescent="0.3">
      <c r="A90" s="24">
        <v>2023</v>
      </c>
      <c r="B90" s="24" cm="1" t="str">
        <f t="array" aca="1" ref="B90" ca="1">INDIRECT("'Params'!A" &amp; (QUOTIENT(ROW(A90)-4, 10) + 1))</f>
        <v>LISHT</v>
      </c>
      <c r="C90" s="25">
        <f ca="1">SUMIFS(Inputs!$F$2:$F$201,Inputs!$A$2:$A$201,$A90,Inputs!$B$2:$B$201,$B90)+SUMIFS(Inputs!$D$2:$D$201,Inputs!$A$2:$A$201,$A90,Inputs!$B$2:$B$201,$B90)+SUMIFS(Inputs!$G$2:$G$201,Inputs!$A$2:$A$201,$A90,Inputs!$B$2:$B$201,$B90)*+SUMIFS(Inputs!$X$2:$X$201,Inputs!$W$2:$W$201,$A90,Inputs!$V$2:$V$201,$B90)</f>
        <v>710973.404857251</v>
      </c>
      <c r="D90" s="26">
        <f ca="1">IFERROR(SUMIFS(Inputs!$G$2:$G$201,Inputs!$A$2:$A$201,$A90,Inputs!$B$2:$B$201,$B90)/SUMIFS(Inputs!$C$2:$C$201,Inputs!$A$2:$A$201,$A90,Inputs!$B$2:$B$201,$B90),0)</f>
        <v>0.05752099364612676</v>
      </c>
      <c r="E90" s="25">
        <f ca="1">SUMIFS(Inputs!$F$2:$F$201,Inputs!$A$2:$A$201,$A90,Inputs!$B$2:$B$201,$B90)+SUMIFS(Inputs!$D$2:$D$201,Inputs!$A$2:$A$201,$A90,Inputs!$B$2:$B$201,$B90)+SUMIFS(Inputs!$H$2:$H$201,Inputs!$A$2:$A$201,$A90,Inputs!$B$2:$B$201,$B90)*+SUMIFS(Inputs!$X$2:$X$201,Inputs!$W$2:$W$201,$A90,Inputs!$V$2:$V$201,$B90)</f>
        <v>770500.078159617</v>
      </c>
      <c r="F90" s="26">
        <f ca="1">IFERROR(SUMIFS(Inputs!$H$2:$H$201,Inputs!$A$2:$A$201,$A90,Inputs!$B$2:$B$201,$B90)/SUMIFS(Inputs!$C$2:$C$201,Inputs!$A$2:$A$201,$A90,Inputs!$B$2:$B$201,$B90),0)</f>
        <v>0.06305240031729406</v>
      </c>
      <c r="G90" s="27">
        <f ca="1">D90*SUMIFS(Inputs!$R$2:$R$23,Inputs!$P$2:$P$23,$B90)/SUMIFS(Inputs!$Q$2:$Q$23,Inputs!$P$2:$P$23,$B90)</f>
        <v>0.008161067788053068</v>
      </c>
      <c r="H90" s="27">
        <f ca="1">MAX(G90,$H$1)</f>
        <v>0.008161067788053068</v>
      </c>
      <c r="I90" s="27">
        <f ca="1">MIN(G90,$I$1)</f>
        <v>0.008161067788053068</v>
      </c>
    </row>
    <row r="91" spans="1:9" x14ac:dyDescent="0.3">
      <c r="A91" s="24">
        <v>2024</v>
      </c>
      <c r="B91" s="24" cm="1" t="str">
        <f t="array" aca="1" ref="B91" ca="1">INDIRECT("'Params'!A" &amp; (QUOTIENT(ROW(A91)-4, 10) + 1))</f>
        <v>LISHT</v>
      </c>
      <c r="C91" s="25">
        <f ca="1">SUMIFS(Inputs!$F$2:$F$201,Inputs!$A$2:$A$201,$A91,Inputs!$B$2:$B$201,$B91)+SUMIFS(Inputs!$D$2:$D$201,Inputs!$A$2:$A$201,$A91,Inputs!$B$2:$B$201,$B91)+SUMIFS(Inputs!$G$2:$G$201,Inputs!$A$2:$A$201,$A91,Inputs!$B$2:$B$201,$B91)*+SUMIFS(Inputs!$X$2:$X$201,Inputs!$W$2:$W$201,$A91,Inputs!$V$2:$V$201,$B91)</f>
        <v>3566059.7532036537</v>
      </c>
      <c r="D91" s="26">
        <f ca="1">IFERROR(SUMIFS(Inputs!$G$2:$G$201,Inputs!$A$2:$A$201,$A91,Inputs!$B$2:$B$201,$B91)/SUMIFS(Inputs!$C$2:$C$201,Inputs!$A$2:$A$201,$A91,Inputs!$B$2:$B$201,$B91),0)</f>
        <v>0.20860219079602868</v>
      </c>
      <c r="E91" s="25">
        <f ca="1">SUMIFS(Inputs!$F$2:$F$201,Inputs!$A$2:$A$201,$A91,Inputs!$B$2:$B$201,$B91)+SUMIFS(Inputs!$D$2:$D$201,Inputs!$A$2:$A$201,$A91,Inputs!$B$2:$B$201,$B91)+SUMIFS(Inputs!$H$2:$H$201,Inputs!$A$2:$A$201,$A91,Inputs!$B$2:$B$201,$B91)*+SUMIFS(Inputs!$X$2:$X$201,Inputs!$W$2:$W$201,$A91,Inputs!$V$2:$V$201,$B91)</f>
        <v>3828015.350013473</v>
      </c>
      <c r="F91" s="26">
        <f ca="1">IFERROR(SUMIFS(Inputs!$H$2:$H$201,Inputs!$A$2:$A$201,$A91,Inputs!$B$2:$B$201,$B91)/SUMIFS(Inputs!$C$2:$C$201,Inputs!$A$2:$A$201,$A91,Inputs!$B$2:$B$201,$B91),0)</f>
        <v>0.22866206956839497</v>
      </c>
      <c r="G91" s="27">
        <f ca="1">D91*SUMIFS(Inputs!$R$2:$R$23,Inputs!$P$2:$P$23,$B91)/SUMIFS(Inputs!$Q$2:$Q$23,Inputs!$P$2:$P$23,$B91)</f>
        <v>0.029596439698106707</v>
      </c>
      <c r="H91" s="27">
        <f ca="1">MAX(G91,$H$1)</f>
        <v>0.029596439698106707</v>
      </c>
      <c r="I91" s="27">
        <f ca="1">MIN(G91,$I$1)</f>
        <v>0.029596439698106707</v>
      </c>
    </row>
    <row r="92" spans="1:9" x14ac:dyDescent="0.3">
      <c r="A92" s="24">
        <v>2025</v>
      </c>
      <c r="B92" s="24" cm="1" t="str">
        <f t="array" aca="1" ref="B92" ca="1">INDIRECT("'Params'!A" &amp; (QUOTIENT(ROW(A92)-4, 10) + 1))</f>
        <v>LISHT</v>
      </c>
      <c r="C92" s="25">
        <f ca="1">SUMIFS(Inputs!$F$2:$F$201,Inputs!$A$2:$A$201,$A92,Inputs!$B$2:$B$201,$B92)+SUMIFS(Inputs!$D$2:$D$201,Inputs!$A$2:$A$201,$A92,Inputs!$B$2:$B$201,$B92)+SUMIFS(Inputs!$G$2:$G$201,Inputs!$A$2:$A$201,$A92,Inputs!$B$2:$B$201,$B92)*+SUMIFS(Inputs!$X$2:$X$201,Inputs!$W$2:$W$201,$A92,Inputs!$V$2:$V$201,$B92)</f>
        <v>6819130.060436799</v>
      </c>
      <c r="D92" s="26">
        <f ca="1">IFERROR(SUMIFS(Inputs!$G$2:$G$201,Inputs!$A$2:$A$201,$A92,Inputs!$B$2:$B$201,$B92)/SUMIFS(Inputs!$C$2:$C$201,Inputs!$A$2:$A$201,$A92,Inputs!$B$2:$B$201,$B92),0)</f>
        <v>0.8426334681369113</v>
      </c>
      <c r="E92" s="25">
        <f ca="1">SUMIFS(Inputs!$F$2:$F$201,Inputs!$A$2:$A$201,$A92,Inputs!$B$2:$B$201,$B92)+SUMIFS(Inputs!$D$2:$D$201,Inputs!$A$2:$A$201,$A92,Inputs!$B$2:$B$201,$B92)+SUMIFS(Inputs!$H$2:$H$201,Inputs!$A$2:$A$201,$A92,Inputs!$B$2:$B$201,$B92)*+SUMIFS(Inputs!$X$2:$X$201,Inputs!$W$2:$W$201,$A92,Inputs!$V$2:$V$201,$B92)</f>
        <v>7471399.492071706</v>
      </c>
      <c r="F92" s="26">
        <f ca="1">IFERROR(SUMIFS(Inputs!$H$2:$H$201,Inputs!$A$2:$A$201,$A92,Inputs!$B$2:$B$201,$B92)/SUMIFS(Inputs!$C$2:$C$201,Inputs!$A$2:$A$201,$A92,Inputs!$B$2:$B$201,$B92),0)</f>
        <v>0.92547745386405</v>
      </c>
      <c r="G92" s="27">
        <f ca="1">D92*SUMIFS(Inputs!$R$2:$R$23,Inputs!$P$2:$P$23,$B92)/SUMIFS(Inputs!$Q$2:$Q$23,Inputs!$P$2:$P$23,$B92)</f>
        <v>0.11955267838824346</v>
      </c>
      <c r="H92" s="27">
        <f ca="1">MAX(G92,$H$1)</f>
        <v>0.11955267838824346</v>
      </c>
      <c r="I92" s="27">
        <f ca="1">MIN(G92,$I$1)</f>
        <v>0.11955267838824346</v>
      </c>
    </row>
    <row r="93" spans="1:9" x14ac:dyDescent="0.3">
      <c r="A93" s="24">
        <v>2026</v>
      </c>
      <c r="B93" s="24" cm="1" t="str">
        <f t="array" aca="1" ref="B93" ca="1">INDIRECT("'Params'!A" &amp; (QUOTIENT(ROW(A93)-4, 10) + 1))</f>
        <v>LISHT</v>
      </c>
      <c r="C93" s="25">
        <f ca="1">SUMIFS(Inputs!$F$2:$F$201,Inputs!$A$2:$A$201,$A93,Inputs!$B$2:$B$201,$B93)+SUMIFS(Inputs!$D$2:$D$201,Inputs!$A$2:$A$201,$A93,Inputs!$B$2:$B$201,$B93)+SUMIFS(Inputs!$G$2:$G$201,Inputs!$A$2:$A$201,$A93,Inputs!$B$2:$B$201,$B93)*+SUMIFS(Inputs!$X$2:$X$201,Inputs!$W$2:$W$201,$A93,Inputs!$V$2:$V$201,$B93)</f>
        <v>4332618.532837443</v>
      </c>
      <c r="D93" s="26">
        <f ca="1">IFERROR(SUMIFS(Inputs!$G$2:$G$201,Inputs!$A$2:$A$201,$A93,Inputs!$B$2:$B$201,$B93)/SUMIFS(Inputs!$C$2:$C$201,Inputs!$A$2:$A$201,$A93,Inputs!$B$2:$B$201,$B93),0)</f>
        <v>0.8836499093206821</v>
      </c>
      <c r="E93" s="25">
        <f ca="1">SUMIFS(Inputs!$F$2:$F$201,Inputs!$A$2:$A$201,$A93,Inputs!$B$2:$B$201,$B93)+SUMIFS(Inputs!$D$2:$D$201,Inputs!$A$2:$A$201,$A93,Inputs!$B$2:$B$201,$B93)+SUMIFS(Inputs!$H$2:$H$201,Inputs!$A$2:$A$201,$A93,Inputs!$B$2:$B$201,$B93)*+SUMIFS(Inputs!$X$2:$X$201,Inputs!$W$2:$W$201,$A93,Inputs!$V$2:$V$201,$B93)</f>
        <v>4816149.302654824</v>
      </c>
      <c r="F93" s="26">
        <f ca="1">IFERROR(SUMIFS(Inputs!$H$2:$H$201,Inputs!$A$2:$A$201,$A93,Inputs!$B$2:$B$201,$B93)/SUMIFS(Inputs!$C$2:$C$201,Inputs!$A$2:$A$201,$A93,Inputs!$B$2:$B$201,$B93),0)</f>
        <v>0.9822673891806196</v>
      </c>
      <c r="G93" s="27">
        <f ca="1">D93*SUMIFS(Inputs!$R$2:$R$23,Inputs!$P$2:$P$23,$B93)/SUMIFS(Inputs!$Q$2:$Q$23,Inputs!$P$2:$P$23,$B93)</f>
        <v>0.12537208336905406</v>
      </c>
      <c r="H93" s="27">
        <f ca="1">MAX(G93,$H$1)</f>
        <v>0.12537208336905406</v>
      </c>
      <c r="I93" s="27">
        <f ca="1">MIN(G93,$I$1)</f>
        <v>0.12537208336905406</v>
      </c>
    </row>
    <row r="94" spans="1:9" x14ac:dyDescent="0.3">
      <c r="A94" s="24">
        <v>2017</v>
      </c>
      <c r="B94" s="24" cm="1" t="str">
        <f t="array" aca="1" ref="B94" ca="1">INDIRECT("'Params'!A" &amp; (QUOTIENT(ROW(A94)-4, 10) + 1))</f>
        <v>LIMED</v>
      </c>
      <c r="C94" s="25">
        <f ca="1">SUMIFS(Inputs!$F$2:$F$201,Inputs!$A$2:$A$201,$A94,Inputs!$B$2:$B$201,$B94)+SUMIFS(Inputs!$D$2:$D$201,Inputs!$A$2:$A$201,$A94,Inputs!$B$2:$B$201,$B94)+SUMIFS(Inputs!$G$2:$G$201,Inputs!$A$2:$A$201,$A94,Inputs!$B$2:$B$201,$B94)*+SUMIFS(Inputs!$X$2:$X$201,Inputs!$W$2:$W$201,$A94,Inputs!$V$2:$V$201,$B94)</f>
        <v>0.0</v>
      </c>
      <c r="D94" s="26">
        <f ca="1">IFERROR(SUMIFS(Inputs!$G$2:$G$201,Inputs!$A$2:$A$201,$A94,Inputs!$B$2:$B$201,$B94)/SUMIFS(Inputs!$C$2:$C$201,Inputs!$A$2:$A$201,$A94,Inputs!$B$2:$B$201,$B94),0)</f>
        <v>0.0</v>
      </c>
      <c r="E94" s="25">
        <f ca="1">SUMIFS(Inputs!$F$2:$F$201,Inputs!$A$2:$A$201,$A94,Inputs!$B$2:$B$201,$B94)+SUMIFS(Inputs!$D$2:$D$201,Inputs!$A$2:$A$201,$A94,Inputs!$B$2:$B$201,$B94)+SUMIFS(Inputs!$H$2:$H$201,Inputs!$A$2:$A$201,$A94,Inputs!$B$2:$B$201,$B94)*+SUMIFS(Inputs!$X$2:$X$201,Inputs!$W$2:$W$201,$A94,Inputs!$V$2:$V$201,$B94)</f>
        <v>0.0</v>
      </c>
      <c r="F94" s="26">
        <f ca="1">IFERROR(SUMIFS(Inputs!$H$2:$H$201,Inputs!$A$2:$A$201,$A94,Inputs!$B$2:$B$201,$B94)/SUMIFS(Inputs!$C$2:$C$201,Inputs!$A$2:$A$201,$A94,Inputs!$B$2:$B$201,$B94),0)</f>
        <v>0.0</v>
      </c>
      <c r="G94" s="27">
        <f ca="1">D94*SUMIFS(Inputs!$R$2:$R$23,Inputs!$P$2:$P$23,$B94)/SUMIFS(Inputs!$Q$2:$Q$23,Inputs!$P$2:$P$23,$B94)</f>
        <v>0.0</v>
      </c>
      <c r="H94" s="27">
        <f ca="1">MAX(G94,$H$1)</f>
        <v>0.0</v>
      </c>
      <c r="I94" s="27">
        <f ca="1">MIN(G94,$I$1)</f>
        <v>0.0</v>
      </c>
    </row>
    <row r="95" spans="1:9" x14ac:dyDescent="0.3">
      <c r="A95" s="24">
        <v>2018</v>
      </c>
      <c r="B95" s="24" cm="1" t="str">
        <f t="array" aca="1" ref="B95" ca="1">INDIRECT("'Params'!A" &amp; (QUOTIENT(ROW(A95)-4, 10) + 1))</f>
        <v>LIMED</v>
      </c>
      <c r="C95" s="25">
        <f ca="1">SUMIFS(Inputs!$F$2:$F$201,Inputs!$A$2:$A$201,$A95,Inputs!$B$2:$B$201,$B95)+SUMIFS(Inputs!$D$2:$D$201,Inputs!$A$2:$A$201,$A95,Inputs!$B$2:$B$201,$B95)+SUMIFS(Inputs!$G$2:$G$201,Inputs!$A$2:$A$201,$A95,Inputs!$B$2:$B$201,$B95)*+SUMIFS(Inputs!$X$2:$X$201,Inputs!$W$2:$W$201,$A95,Inputs!$V$2:$V$201,$B95)</f>
        <v>0.0</v>
      </c>
      <c r="D95" s="26">
        <f ca="1">IFERROR(SUMIFS(Inputs!$G$2:$G$201,Inputs!$A$2:$A$201,$A95,Inputs!$B$2:$B$201,$B95)/SUMIFS(Inputs!$C$2:$C$201,Inputs!$A$2:$A$201,$A95,Inputs!$B$2:$B$201,$B95),0)</f>
        <v>0.0</v>
      </c>
      <c r="E95" s="25">
        <f ca="1">SUMIFS(Inputs!$F$2:$F$201,Inputs!$A$2:$A$201,$A95,Inputs!$B$2:$B$201,$B95)+SUMIFS(Inputs!$D$2:$D$201,Inputs!$A$2:$A$201,$A95,Inputs!$B$2:$B$201,$B95)+SUMIFS(Inputs!$H$2:$H$201,Inputs!$A$2:$A$201,$A95,Inputs!$B$2:$B$201,$B95)*+SUMIFS(Inputs!$X$2:$X$201,Inputs!$W$2:$W$201,$A95,Inputs!$V$2:$V$201,$B95)</f>
        <v>0.0</v>
      </c>
      <c r="F95" s="26">
        <f ca="1">IFERROR(SUMIFS(Inputs!$H$2:$H$201,Inputs!$A$2:$A$201,$A95,Inputs!$B$2:$B$201,$B95)/SUMIFS(Inputs!$C$2:$C$201,Inputs!$A$2:$A$201,$A95,Inputs!$B$2:$B$201,$B95),0)</f>
        <v>0.0</v>
      </c>
      <c r="G95" s="27">
        <f ca="1">D95*SUMIFS(Inputs!$R$2:$R$23,Inputs!$P$2:$P$23,$B95)/SUMIFS(Inputs!$Q$2:$Q$23,Inputs!$P$2:$P$23,$B95)</f>
        <v>0.0</v>
      </c>
      <c r="H95" s="27">
        <f ca="1">MAX(G95,$H$1)</f>
        <v>0.0</v>
      </c>
      <c r="I95" s="27">
        <f ca="1">MIN(G95,$I$1)</f>
        <v>0.0</v>
      </c>
    </row>
    <row r="96" spans="1:9" x14ac:dyDescent="0.3">
      <c r="A96" s="24">
        <v>2019</v>
      </c>
      <c r="B96" s="24" cm="1" t="str">
        <f t="array" aca="1" ref="B96" ca="1">INDIRECT("'Params'!A" &amp; (QUOTIENT(ROW(A96)-4, 10) + 1))</f>
        <v>LIMED</v>
      </c>
      <c r="C96" s="25">
        <f ca="1">SUMIFS(Inputs!$F$2:$F$201,Inputs!$A$2:$A$201,$A96,Inputs!$B$2:$B$201,$B96)+SUMIFS(Inputs!$D$2:$D$201,Inputs!$A$2:$A$201,$A96,Inputs!$B$2:$B$201,$B96)+SUMIFS(Inputs!$G$2:$G$201,Inputs!$A$2:$A$201,$A96,Inputs!$B$2:$B$201,$B96)*+SUMIFS(Inputs!$X$2:$X$201,Inputs!$W$2:$W$201,$A96,Inputs!$V$2:$V$201,$B96)</f>
        <v>0.0</v>
      </c>
      <c r="D96" s="26">
        <f ca="1">IFERROR(SUMIFS(Inputs!$G$2:$G$201,Inputs!$A$2:$A$201,$A96,Inputs!$B$2:$B$201,$B96)/SUMIFS(Inputs!$C$2:$C$201,Inputs!$A$2:$A$201,$A96,Inputs!$B$2:$B$201,$B96),0)</f>
        <v>0.0</v>
      </c>
      <c r="E96" s="25">
        <f ca="1">SUMIFS(Inputs!$F$2:$F$201,Inputs!$A$2:$A$201,$A96,Inputs!$B$2:$B$201,$B96)+SUMIFS(Inputs!$D$2:$D$201,Inputs!$A$2:$A$201,$A96,Inputs!$B$2:$B$201,$B96)+SUMIFS(Inputs!$H$2:$H$201,Inputs!$A$2:$A$201,$A96,Inputs!$B$2:$B$201,$B96)*+SUMIFS(Inputs!$X$2:$X$201,Inputs!$W$2:$W$201,$A96,Inputs!$V$2:$V$201,$B96)</f>
        <v>0.0</v>
      </c>
      <c r="F96" s="26">
        <f ca="1">IFERROR(SUMIFS(Inputs!$H$2:$H$201,Inputs!$A$2:$A$201,$A96,Inputs!$B$2:$B$201,$B96)/SUMIFS(Inputs!$C$2:$C$201,Inputs!$A$2:$A$201,$A96,Inputs!$B$2:$B$201,$B96),0)</f>
        <v>0.0</v>
      </c>
      <c r="G96" s="27">
        <f ca="1">D96*SUMIFS(Inputs!$R$2:$R$23,Inputs!$P$2:$P$23,$B96)/SUMIFS(Inputs!$Q$2:$Q$23,Inputs!$P$2:$P$23,$B96)</f>
        <v>0.0</v>
      </c>
      <c r="H96" s="27">
        <f ca="1">MAX(G96,$H$1)</f>
        <v>0.0</v>
      </c>
      <c r="I96" s="27">
        <f ca="1">MIN(G96,$I$1)</f>
        <v>0.0</v>
      </c>
    </row>
    <row r="97" spans="1:9" x14ac:dyDescent="0.3">
      <c r="A97" s="24">
        <v>2020</v>
      </c>
      <c r="B97" s="24" cm="1" t="str">
        <f t="array" aca="1" ref="B97" ca="1">INDIRECT("'Params'!A" &amp; (QUOTIENT(ROW(A97)-4, 10) + 1))</f>
        <v>LIMED</v>
      </c>
      <c r="C97" s="25">
        <f ca="1">SUMIFS(Inputs!$F$2:$F$201,Inputs!$A$2:$A$201,$A97,Inputs!$B$2:$B$201,$B97)+SUMIFS(Inputs!$D$2:$D$201,Inputs!$A$2:$A$201,$A97,Inputs!$B$2:$B$201,$B97)+SUMIFS(Inputs!$G$2:$G$201,Inputs!$A$2:$A$201,$A97,Inputs!$B$2:$B$201,$B97)*+SUMIFS(Inputs!$X$2:$X$201,Inputs!$W$2:$W$201,$A97,Inputs!$V$2:$V$201,$B97)</f>
        <v>0.0</v>
      </c>
      <c r="D97" s="26">
        <f ca="1">IFERROR(SUMIFS(Inputs!$G$2:$G$201,Inputs!$A$2:$A$201,$A97,Inputs!$B$2:$B$201,$B97)/SUMIFS(Inputs!$C$2:$C$201,Inputs!$A$2:$A$201,$A97,Inputs!$B$2:$B$201,$B97),0)</f>
        <v>0.0</v>
      </c>
      <c r="E97" s="25">
        <f ca="1">SUMIFS(Inputs!$F$2:$F$201,Inputs!$A$2:$A$201,$A97,Inputs!$B$2:$B$201,$B97)+SUMIFS(Inputs!$D$2:$D$201,Inputs!$A$2:$A$201,$A97,Inputs!$B$2:$B$201,$B97)+SUMIFS(Inputs!$H$2:$H$201,Inputs!$A$2:$A$201,$A97,Inputs!$B$2:$B$201,$B97)*+SUMIFS(Inputs!$X$2:$X$201,Inputs!$W$2:$W$201,$A97,Inputs!$V$2:$V$201,$B97)</f>
        <v>0.0</v>
      </c>
      <c r="F97" s="26">
        <f ca="1">IFERROR(SUMIFS(Inputs!$H$2:$H$201,Inputs!$A$2:$A$201,$A97,Inputs!$B$2:$B$201,$B97)/SUMIFS(Inputs!$C$2:$C$201,Inputs!$A$2:$A$201,$A97,Inputs!$B$2:$B$201,$B97),0)</f>
        <v>0.0</v>
      </c>
      <c r="G97" s="27">
        <f ca="1">D97*SUMIFS(Inputs!$R$2:$R$23,Inputs!$P$2:$P$23,$B97)/SUMIFS(Inputs!$Q$2:$Q$23,Inputs!$P$2:$P$23,$B97)</f>
        <v>0.0</v>
      </c>
      <c r="H97" s="27">
        <f ca="1">MAX(G97,$H$1)</f>
        <v>0.0</v>
      </c>
      <c r="I97" s="27">
        <f ca="1">MIN(G97,$I$1)</f>
        <v>0.0</v>
      </c>
    </row>
    <row r="98" spans="1:9" x14ac:dyDescent="0.3">
      <c r="A98" s="24">
        <v>2021</v>
      </c>
      <c r="B98" s="24" cm="1" t="str">
        <f t="array" aca="1" ref="B98" ca="1">INDIRECT("'Params'!A" &amp; (QUOTIENT(ROW(A98)-4, 10) + 1))</f>
        <v>LIMED</v>
      </c>
      <c r="C98" s="25">
        <f ca="1">SUMIFS(Inputs!$F$2:$F$201,Inputs!$A$2:$A$201,$A98,Inputs!$B$2:$B$201,$B98)+SUMIFS(Inputs!$D$2:$D$201,Inputs!$A$2:$A$201,$A98,Inputs!$B$2:$B$201,$B98)+SUMIFS(Inputs!$G$2:$G$201,Inputs!$A$2:$A$201,$A98,Inputs!$B$2:$B$201,$B98)*+SUMIFS(Inputs!$X$2:$X$201,Inputs!$W$2:$W$201,$A98,Inputs!$V$2:$V$201,$B98)</f>
        <v>0.0</v>
      </c>
      <c r="D98" s="26">
        <f ca="1">IFERROR(SUMIFS(Inputs!$G$2:$G$201,Inputs!$A$2:$A$201,$A98,Inputs!$B$2:$B$201,$B98)/SUMIFS(Inputs!$C$2:$C$201,Inputs!$A$2:$A$201,$A98,Inputs!$B$2:$B$201,$B98),0)</f>
        <v>0.0</v>
      </c>
      <c r="E98" s="25">
        <f ca="1">SUMIFS(Inputs!$F$2:$F$201,Inputs!$A$2:$A$201,$A98,Inputs!$B$2:$B$201,$B98)+SUMIFS(Inputs!$D$2:$D$201,Inputs!$A$2:$A$201,$A98,Inputs!$B$2:$B$201,$B98)+SUMIFS(Inputs!$H$2:$H$201,Inputs!$A$2:$A$201,$A98,Inputs!$B$2:$B$201,$B98)*+SUMIFS(Inputs!$X$2:$X$201,Inputs!$W$2:$W$201,$A98,Inputs!$V$2:$V$201,$B98)</f>
        <v>0.0</v>
      </c>
      <c r="F98" s="26">
        <f ca="1">IFERROR(SUMIFS(Inputs!$H$2:$H$201,Inputs!$A$2:$A$201,$A98,Inputs!$B$2:$B$201,$B98)/SUMIFS(Inputs!$C$2:$C$201,Inputs!$A$2:$A$201,$A98,Inputs!$B$2:$B$201,$B98),0)</f>
        <v>0.0</v>
      </c>
      <c r="G98" s="27">
        <f ca="1">D98*SUMIFS(Inputs!$R$2:$R$23,Inputs!$P$2:$P$23,$B98)/SUMIFS(Inputs!$Q$2:$Q$23,Inputs!$P$2:$P$23,$B98)</f>
        <v>0.0</v>
      </c>
      <c r="H98" s="27">
        <f ca="1">MAX(G98,$H$1)</f>
        <v>0.0</v>
      </c>
      <c r="I98" s="27">
        <f ca="1">MIN(G98,$I$1)</f>
        <v>0.0</v>
      </c>
    </row>
    <row r="99" spans="1:9" x14ac:dyDescent="0.3">
      <c r="A99" s="24">
        <v>2022</v>
      </c>
      <c r="B99" s="24" cm="1" t="str">
        <f t="array" aca="1" ref="B99" ca="1">INDIRECT("'Params'!A" &amp; (QUOTIENT(ROW(A99)-4, 10) + 1))</f>
        <v>LIMED</v>
      </c>
      <c r="C99" s="25">
        <f ca="1">SUMIFS(Inputs!$F$2:$F$201,Inputs!$A$2:$A$201,$A99,Inputs!$B$2:$B$201,$B99)+SUMIFS(Inputs!$D$2:$D$201,Inputs!$A$2:$A$201,$A99,Inputs!$B$2:$B$201,$B99)+SUMIFS(Inputs!$G$2:$G$201,Inputs!$A$2:$A$201,$A99,Inputs!$B$2:$B$201,$B99)*+SUMIFS(Inputs!$X$2:$X$201,Inputs!$W$2:$W$201,$A99,Inputs!$V$2:$V$201,$B99)</f>
        <v>0.0</v>
      </c>
      <c r="D99" s="26">
        <f ca="1">IFERROR(SUMIFS(Inputs!$G$2:$G$201,Inputs!$A$2:$A$201,$A99,Inputs!$B$2:$B$201,$B99)/SUMIFS(Inputs!$C$2:$C$201,Inputs!$A$2:$A$201,$A99,Inputs!$B$2:$B$201,$B99),0)</f>
        <v>0.0</v>
      </c>
      <c r="E99" s="25">
        <f ca="1">SUMIFS(Inputs!$F$2:$F$201,Inputs!$A$2:$A$201,$A99,Inputs!$B$2:$B$201,$B99)+SUMIFS(Inputs!$D$2:$D$201,Inputs!$A$2:$A$201,$A99,Inputs!$B$2:$B$201,$B99)+SUMIFS(Inputs!$H$2:$H$201,Inputs!$A$2:$A$201,$A99,Inputs!$B$2:$B$201,$B99)*+SUMIFS(Inputs!$X$2:$X$201,Inputs!$W$2:$W$201,$A99,Inputs!$V$2:$V$201,$B99)</f>
        <v>0.0</v>
      </c>
      <c r="F99" s="26">
        <f ca="1">IFERROR(SUMIFS(Inputs!$H$2:$H$201,Inputs!$A$2:$A$201,$A99,Inputs!$B$2:$B$201,$B99)/SUMIFS(Inputs!$C$2:$C$201,Inputs!$A$2:$A$201,$A99,Inputs!$B$2:$B$201,$B99),0)</f>
        <v>0.0</v>
      </c>
      <c r="G99" s="27">
        <f ca="1">D99*SUMIFS(Inputs!$R$2:$R$23,Inputs!$P$2:$P$23,$B99)/SUMIFS(Inputs!$Q$2:$Q$23,Inputs!$P$2:$P$23,$B99)</f>
        <v>0.0</v>
      </c>
      <c r="H99" s="27">
        <f ca="1">MAX(G99,$H$1)</f>
        <v>0.0</v>
      </c>
      <c r="I99" s="27">
        <f ca="1">MIN(G99,$I$1)</f>
        <v>0.0</v>
      </c>
    </row>
    <row r="100" spans="1:9" x14ac:dyDescent="0.3">
      <c r="A100" s="24">
        <v>2023</v>
      </c>
      <c r="B100" s="24" cm="1" t="str">
        <f t="array" aca="1" ref="B100" ca="1">INDIRECT("'Params'!A" &amp; (QUOTIENT(ROW(A100)-4, 10) + 1))</f>
        <v>LIMED</v>
      </c>
      <c r="C100" s="25">
        <f ca="1">SUMIFS(Inputs!$F$2:$F$201,Inputs!$A$2:$A$201,$A100,Inputs!$B$2:$B$201,$B100)+SUMIFS(Inputs!$D$2:$D$201,Inputs!$A$2:$A$201,$A100,Inputs!$B$2:$B$201,$B100)+SUMIFS(Inputs!$G$2:$G$201,Inputs!$A$2:$A$201,$A100,Inputs!$B$2:$B$201,$B100)*+SUMIFS(Inputs!$X$2:$X$201,Inputs!$W$2:$W$201,$A100,Inputs!$V$2:$V$201,$B100)</f>
        <v>0.0</v>
      </c>
      <c r="D100" s="26">
        <f ca="1">IFERROR(SUMIFS(Inputs!$G$2:$G$201,Inputs!$A$2:$A$201,$A100,Inputs!$B$2:$B$201,$B100)/SUMIFS(Inputs!$C$2:$C$201,Inputs!$A$2:$A$201,$A100,Inputs!$B$2:$B$201,$B100),0)</f>
        <v>0.0</v>
      </c>
      <c r="E100" s="25">
        <f ca="1">SUMIFS(Inputs!$F$2:$F$201,Inputs!$A$2:$A$201,$A100,Inputs!$B$2:$B$201,$B100)+SUMIFS(Inputs!$D$2:$D$201,Inputs!$A$2:$A$201,$A100,Inputs!$B$2:$B$201,$B100)+SUMIFS(Inputs!$H$2:$H$201,Inputs!$A$2:$A$201,$A100,Inputs!$B$2:$B$201,$B100)*+SUMIFS(Inputs!$X$2:$X$201,Inputs!$W$2:$W$201,$A100,Inputs!$V$2:$V$201,$B100)</f>
        <v>0.0</v>
      </c>
      <c r="F100" s="26">
        <f ca="1">IFERROR(SUMIFS(Inputs!$H$2:$H$201,Inputs!$A$2:$A$201,$A100,Inputs!$B$2:$B$201,$B100)/SUMIFS(Inputs!$C$2:$C$201,Inputs!$A$2:$A$201,$A100,Inputs!$B$2:$B$201,$B100),0)</f>
        <v>0.0</v>
      </c>
      <c r="G100" s="27">
        <f ca="1">D100*SUMIFS(Inputs!$R$2:$R$23,Inputs!$P$2:$P$23,$B100)/SUMIFS(Inputs!$Q$2:$Q$23,Inputs!$P$2:$P$23,$B100)</f>
        <v>0.0</v>
      </c>
      <c r="H100" s="27">
        <f ca="1">MAX(G100,$H$1)</f>
        <v>0.0</v>
      </c>
      <c r="I100" s="27">
        <f ca="1">MIN(G100,$I$1)</f>
        <v>0.0</v>
      </c>
    </row>
    <row r="101" spans="1:9" x14ac:dyDescent="0.3">
      <c r="A101" s="24">
        <v>2024</v>
      </c>
      <c r="B101" s="24" cm="1" t="str">
        <f t="array" aca="1" ref="B101" ca="1">INDIRECT("'Params'!A" &amp; (QUOTIENT(ROW(A101)-4, 10) + 1))</f>
        <v>LIMED</v>
      </c>
      <c r="C101" s="25">
        <f ca="1">SUMIFS(Inputs!$F$2:$F$201,Inputs!$A$2:$A$201,$A101,Inputs!$B$2:$B$201,$B101)+SUMIFS(Inputs!$D$2:$D$201,Inputs!$A$2:$A$201,$A101,Inputs!$B$2:$B$201,$B101)+SUMIFS(Inputs!$G$2:$G$201,Inputs!$A$2:$A$201,$A101,Inputs!$B$2:$B$201,$B101)*+SUMIFS(Inputs!$X$2:$X$201,Inputs!$W$2:$W$201,$A101,Inputs!$V$2:$V$201,$B101)</f>
        <v>1378217.3152896329</v>
      </c>
      <c r="D101" s="26">
        <f ca="1">IFERROR(SUMIFS(Inputs!$G$2:$G$201,Inputs!$A$2:$A$201,$A101,Inputs!$B$2:$B$201,$B101)/SUMIFS(Inputs!$C$2:$C$201,Inputs!$A$2:$A$201,$A101,Inputs!$B$2:$B$201,$B101),0)</f>
        <v>0.49974049148589084</v>
      </c>
      <c r="E101" s="25">
        <f ca="1">SUMIFS(Inputs!$F$2:$F$201,Inputs!$A$2:$A$201,$A101,Inputs!$B$2:$B$201,$B101)+SUMIFS(Inputs!$D$2:$D$201,Inputs!$A$2:$A$201,$A101,Inputs!$B$2:$B$201,$B101)+SUMIFS(Inputs!$H$2:$H$201,Inputs!$A$2:$A$201,$A101,Inputs!$B$2:$B$201,$B101)*+SUMIFS(Inputs!$X$2:$X$201,Inputs!$W$2:$W$201,$A101,Inputs!$V$2:$V$201,$B101)</f>
        <v>1459040.270841257</v>
      </c>
      <c r="F101" s="26">
        <f ca="1">IFERROR(SUMIFS(Inputs!$H$2:$H$201,Inputs!$A$2:$A$201,$A101,Inputs!$B$2:$B$201,$B101)/SUMIFS(Inputs!$C$2:$C$201,Inputs!$A$2:$A$201,$A101,Inputs!$B$2:$B$201,$B101),0)</f>
        <v>0.5290468302487461</v>
      </c>
      <c r="G101" s="27">
        <f ca="1">D101*SUMIFS(Inputs!$R$2:$R$23,Inputs!$P$2:$P$23,$B101)/SUMIFS(Inputs!$Q$2:$Q$23,Inputs!$P$2:$P$23,$B101)</f>
        <v>0.02848075268891936</v>
      </c>
      <c r="H101" s="27">
        <f ca="1">MAX(G101,$H$1)</f>
        <v>0.02848075268891936</v>
      </c>
      <c r="I101" s="27">
        <f ca="1">MIN(G101,$I$1)</f>
        <v>0.02848075268891936</v>
      </c>
    </row>
    <row r="102" spans="1:9" x14ac:dyDescent="0.3">
      <c r="A102" s="24">
        <v>2025</v>
      </c>
      <c r="B102" s="24" cm="1" t="str">
        <f t="array" aca="1" ref="B102" ca="1">INDIRECT("'Params'!A" &amp; (QUOTIENT(ROW(A102)-4, 10) + 1))</f>
        <v>LIMED</v>
      </c>
      <c r="C102" s="25">
        <f ca="1">SUMIFS(Inputs!$F$2:$F$201,Inputs!$A$2:$A$201,$A102,Inputs!$B$2:$B$201,$B102)+SUMIFS(Inputs!$D$2:$D$201,Inputs!$A$2:$A$201,$A102,Inputs!$B$2:$B$201,$B102)+SUMIFS(Inputs!$G$2:$G$201,Inputs!$A$2:$A$201,$A102,Inputs!$B$2:$B$201,$B102)*+SUMIFS(Inputs!$X$2:$X$201,Inputs!$W$2:$W$201,$A102,Inputs!$V$2:$V$201,$B102)</f>
        <v>4878086.588165589</v>
      </c>
      <c r="D102" s="26">
        <f ca="1">IFERROR(SUMIFS(Inputs!$G$2:$G$201,Inputs!$A$2:$A$201,$A102,Inputs!$B$2:$B$201,$B102)/SUMIFS(Inputs!$C$2:$C$201,Inputs!$A$2:$A$201,$A102,Inputs!$B$2:$B$201,$B102),0)</f>
        <v>0.24242982334281826</v>
      </c>
      <c r="E102" s="25">
        <f ca="1">SUMIFS(Inputs!$F$2:$F$201,Inputs!$A$2:$A$201,$A102,Inputs!$B$2:$B$201,$B102)+SUMIFS(Inputs!$D$2:$D$201,Inputs!$A$2:$A$201,$A102,Inputs!$B$2:$B$201,$B102)+SUMIFS(Inputs!$H$2:$H$201,Inputs!$A$2:$A$201,$A102,Inputs!$B$2:$B$201,$B102)*+SUMIFS(Inputs!$X$2:$X$201,Inputs!$W$2:$W$201,$A102,Inputs!$V$2:$V$201,$B102)</f>
        <v>5165308.3962366115</v>
      </c>
      <c r="F102" s="26">
        <f ca="1">IFERROR(SUMIFS(Inputs!$H$2:$H$201,Inputs!$A$2:$A$201,$A102,Inputs!$B$2:$B$201,$B102)/SUMIFS(Inputs!$C$2:$C$201,Inputs!$A$2:$A$201,$A102,Inputs!$B$2:$B$201,$B102),0)</f>
        <v>0.25670409480814865</v>
      </c>
      <c r="G102" s="27">
        <f ca="1">D102*SUMIFS(Inputs!$R$2:$R$23,Inputs!$P$2:$P$23,$B102)/SUMIFS(Inputs!$Q$2:$Q$23,Inputs!$P$2:$P$23,$B102)</f>
        <v>0.013816338601092031</v>
      </c>
      <c r="H102" s="27">
        <f ca="1">MAX(G102,$H$1)</f>
        <v>0.013816338601092031</v>
      </c>
      <c r="I102" s="27">
        <f ca="1">MIN(G102,$I$1)</f>
        <v>0.013816338601092031</v>
      </c>
    </row>
    <row r="103" spans="1:9" x14ac:dyDescent="0.3">
      <c r="A103" s="24">
        <v>2026</v>
      </c>
      <c r="B103" s="24" cm="1" t="str">
        <f t="array" aca="1" ref="B103" ca="1">INDIRECT("'Params'!A" &amp; (QUOTIENT(ROW(A103)-4, 10) + 1))</f>
        <v>LIMED</v>
      </c>
      <c r="C103" s="25">
        <f ca="1">SUMIFS(Inputs!$F$2:$F$201,Inputs!$A$2:$A$201,$A103,Inputs!$B$2:$B$201,$B103)+SUMIFS(Inputs!$D$2:$D$201,Inputs!$A$2:$A$201,$A103,Inputs!$B$2:$B$201,$B103)+SUMIFS(Inputs!$G$2:$G$201,Inputs!$A$2:$A$201,$A103,Inputs!$B$2:$B$201,$B103)*+SUMIFS(Inputs!$X$2:$X$201,Inputs!$W$2:$W$201,$A103,Inputs!$V$2:$V$201,$B103)</f>
        <v>8177799.655197489</v>
      </c>
      <c r="D103" s="26">
        <f ca="1">IFERROR(SUMIFS(Inputs!$G$2:$G$201,Inputs!$A$2:$A$201,$A103,Inputs!$B$2:$B$201,$B103)/SUMIFS(Inputs!$C$2:$C$201,Inputs!$A$2:$A$201,$A103,Inputs!$B$2:$B$201,$B103),0)</f>
        <v>0.6181350021250843</v>
      </c>
      <c r="E103" s="25">
        <f ca="1">SUMIFS(Inputs!$F$2:$F$201,Inputs!$A$2:$A$201,$A103,Inputs!$B$2:$B$201,$B103)+SUMIFS(Inputs!$D$2:$D$201,Inputs!$A$2:$A$201,$A103,Inputs!$B$2:$B$201,$B103)+SUMIFS(Inputs!$H$2:$H$201,Inputs!$A$2:$A$201,$A103,Inputs!$B$2:$B$201,$B103)*+SUMIFS(Inputs!$X$2:$X$201,Inputs!$W$2:$W$201,$A103,Inputs!$V$2:$V$201,$B103)</f>
        <v>8679088.56699125</v>
      </c>
      <c r="F103" s="26">
        <f ca="1">IFERROR(SUMIFS(Inputs!$H$2:$H$201,Inputs!$A$2:$A$201,$A103,Inputs!$B$2:$B$201,$B103)/SUMIFS(Inputs!$C$2:$C$201,Inputs!$A$2:$A$201,$A103,Inputs!$B$2:$B$201,$B103),0)</f>
        <v>0.6560259062339885</v>
      </c>
      <c r="G103" s="27">
        <f ca="1">D103*SUMIFS(Inputs!$R$2:$R$23,Inputs!$P$2:$P$23,$B103)/SUMIFS(Inputs!$Q$2:$Q$23,Inputs!$P$2:$P$23,$B103)</f>
        <v>0.03522818427529043</v>
      </c>
      <c r="H103" s="27">
        <f ca="1">MAX(G103,$H$1)</f>
        <v>0.03522818427529043</v>
      </c>
      <c r="I103" s="27">
        <f ca="1">MIN(G103,$I$1)</f>
        <v>0.03522818427529043</v>
      </c>
    </row>
    <row r="104" spans="1:9" x14ac:dyDescent="0.3">
      <c r="A104" s="24">
        <v>2017</v>
      </c>
      <c r="B104" s="24" cm="1" t="str">
        <f t="array" aca="1" ref="B104" ca="1">INDIRECT("'Params'!A" &amp; (QUOTIENT(ROW(A104)-4, 10) + 1))</f>
        <v>LIMLT</v>
      </c>
      <c r="C104" s="25">
        <f ca="1">SUMIFS(Inputs!$F$2:$F$201,Inputs!$A$2:$A$201,$A104,Inputs!$B$2:$B$201,$B104)+SUMIFS(Inputs!$D$2:$D$201,Inputs!$A$2:$A$201,$A104,Inputs!$B$2:$B$201,$B104)+SUMIFS(Inputs!$G$2:$G$201,Inputs!$A$2:$A$201,$A104,Inputs!$B$2:$B$201,$B104)*+SUMIFS(Inputs!$X$2:$X$201,Inputs!$W$2:$W$201,$A104,Inputs!$V$2:$V$201,$B104)</f>
        <v>0.0</v>
      </c>
      <c r="D104" s="26">
        <f ca="1">IFERROR(SUMIFS(Inputs!$G$2:$G$201,Inputs!$A$2:$A$201,$A104,Inputs!$B$2:$B$201,$B104)/SUMIFS(Inputs!$C$2:$C$201,Inputs!$A$2:$A$201,$A104,Inputs!$B$2:$B$201,$B104),0)</f>
        <v>0.0</v>
      </c>
      <c r="E104" s="25">
        <f ca="1">SUMIFS(Inputs!$F$2:$F$201,Inputs!$A$2:$A$201,$A104,Inputs!$B$2:$B$201,$B104)+SUMIFS(Inputs!$D$2:$D$201,Inputs!$A$2:$A$201,$A104,Inputs!$B$2:$B$201,$B104)+SUMIFS(Inputs!$H$2:$H$201,Inputs!$A$2:$A$201,$A104,Inputs!$B$2:$B$201,$B104)*+SUMIFS(Inputs!$X$2:$X$201,Inputs!$W$2:$W$201,$A104,Inputs!$V$2:$V$201,$B104)</f>
        <v>0.0</v>
      </c>
      <c r="F104" s="26">
        <f ca="1">IFERROR(SUMIFS(Inputs!$H$2:$H$201,Inputs!$A$2:$A$201,$A104,Inputs!$B$2:$B$201,$B104)/SUMIFS(Inputs!$C$2:$C$201,Inputs!$A$2:$A$201,$A104,Inputs!$B$2:$B$201,$B104),0)</f>
        <v>0.0</v>
      </c>
      <c r="G104" s="27">
        <f ca="1">D104*SUMIFS(Inputs!$R$2:$R$23,Inputs!$P$2:$P$23,$B104)/SUMIFS(Inputs!$Q$2:$Q$23,Inputs!$P$2:$P$23,$B104)</f>
        <v>0.0</v>
      </c>
      <c r="H104" s="27">
        <f ca="1">MAX(G104,$H$1)</f>
        <v>0.0</v>
      </c>
      <c r="I104" s="27">
        <f ca="1">MIN(G104,$I$1)</f>
        <v>0.0</v>
      </c>
    </row>
    <row r="105" spans="1:9" x14ac:dyDescent="0.3">
      <c r="A105" s="24">
        <v>2018</v>
      </c>
      <c r="B105" s="24" cm="1" t="str">
        <f t="array" aca="1" ref="B105" ca="1">INDIRECT("'Params'!A" &amp; (QUOTIENT(ROW(A105)-4, 10) + 1))</f>
        <v>LIMLT</v>
      </c>
      <c r="C105" s="25">
        <f ca="1">SUMIFS(Inputs!$F$2:$F$201,Inputs!$A$2:$A$201,$A105,Inputs!$B$2:$B$201,$B105)+SUMIFS(Inputs!$D$2:$D$201,Inputs!$A$2:$A$201,$A105,Inputs!$B$2:$B$201,$B105)+SUMIFS(Inputs!$G$2:$G$201,Inputs!$A$2:$A$201,$A105,Inputs!$B$2:$B$201,$B105)*+SUMIFS(Inputs!$X$2:$X$201,Inputs!$W$2:$W$201,$A105,Inputs!$V$2:$V$201,$B105)</f>
        <v>0.0</v>
      </c>
      <c r="D105" s="26">
        <f ca="1">IFERROR(SUMIFS(Inputs!$G$2:$G$201,Inputs!$A$2:$A$201,$A105,Inputs!$B$2:$B$201,$B105)/SUMIFS(Inputs!$C$2:$C$201,Inputs!$A$2:$A$201,$A105,Inputs!$B$2:$B$201,$B105),0)</f>
        <v>0.0</v>
      </c>
      <c r="E105" s="25">
        <f ca="1">SUMIFS(Inputs!$F$2:$F$201,Inputs!$A$2:$A$201,$A105,Inputs!$B$2:$B$201,$B105)+SUMIFS(Inputs!$D$2:$D$201,Inputs!$A$2:$A$201,$A105,Inputs!$B$2:$B$201,$B105)+SUMIFS(Inputs!$H$2:$H$201,Inputs!$A$2:$A$201,$A105,Inputs!$B$2:$B$201,$B105)*+SUMIFS(Inputs!$X$2:$X$201,Inputs!$W$2:$W$201,$A105,Inputs!$V$2:$V$201,$B105)</f>
        <v>0.0</v>
      </c>
      <c r="F105" s="26">
        <f ca="1">IFERROR(SUMIFS(Inputs!$H$2:$H$201,Inputs!$A$2:$A$201,$A105,Inputs!$B$2:$B$201,$B105)/SUMIFS(Inputs!$C$2:$C$201,Inputs!$A$2:$A$201,$A105,Inputs!$B$2:$B$201,$B105),0)</f>
        <v>0.0</v>
      </c>
      <c r="G105" s="27">
        <f ca="1">D105*SUMIFS(Inputs!$R$2:$R$23,Inputs!$P$2:$P$23,$B105)/SUMIFS(Inputs!$Q$2:$Q$23,Inputs!$P$2:$P$23,$B105)</f>
        <v>0.0</v>
      </c>
      <c r="H105" s="27">
        <f ca="1">MAX(G105,$H$1)</f>
        <v>0.0</v>
      </c>
      <c r="I105" s="27">
        <f ca="1">MIN(G105,$I$1)</f>
        <v>0.0</v>
      </c>
    </row>
    <row r="106" spans="1:9" x14ac:dyDescent="0.3">
      <c r="A106" s="24">
        <v>2019</v>
      </c>
      <c r="B106" s="24" cm="1" t="str">
        <f t="array" aca="1" ref="B106" ca="1">INDIRECT("'Params'!A" &amp; (QUOTIENT(ROW(A106)-4, 10) + 1))</f>
        <v>LIMLT</v>
      </c>
      <c r="C106" s="25">
        <f ca="1">SUMIFS(Inputs!$F$2:$F$201,Inputs!$A$2:$A$201,$A106,Inputs!$B$2:$B$201,$B106)+SUMIFS(Inputs!$D$2:$D$201,Inputs!$A$2:$A$201,$A106,Inputs!$B$2:$B$201,$B106)+SUMIFS(Inputs!$G$2:$G$201,Inputs!$A$2:$A$201,$A106,Inputs!$B$2:$B$201,$B106)*+SUMIFS(Inputs!$X$2:$X$201,Inputs!$W$2:$W$201,$A106,Inputs!$V$2:$V$201,$B106)</f>
        <v>0.0</v>
      </c>
      <c r="D106" s="26">
        <f ca="1">IFERROR(SUMIFS(Inputs!$G$2:$G$201,Inputs!$A$2:$A$201,$A106,Inputs!$B$2:$B$201,$B106)/SUMIFS(Inputs!$C$2:$C$201,Inputs!$A$2:$A$201,$A106,Inputs!$B$2:$B$201,$B106),0)</f>
        <v>0.0</v>
      </c>
      <c r="E106" s="25">
        <f ca="1">SUMIFS(Inputs!$F$2:$F$201,Inputs!$A$2:$A$201,$A106,Inputs!$B$2:$B$201,$B106)+SUMIFS(Inputs!$D$2:$D$201,Inputs!$A$2:$A$201,$A106,Inputs!$B$2:$B$201,$B106)+SUMIFS(Inputs!$H$2:$H$201,Inputs!$A$2:$A$201,$A106,Inputs!$B$2:$B$201,$B106)*+SUMIFS(Inputs!$X$2:$X$201,Inputs!$W$2:$W$201,$A106,Inputs!$V$2:$V$201,$B106)</f>
        <v>0.0</v>
      </c>
      <c r="F106" s="26">
        <f ca="1">IFERROR(SUMIFS(Inputs!$H$2:$H$201,Inputs!$A$2:$A$201,$A106,Inputs!$B$2:$B$201,$B106)/SUMIFS(Inputs!$C$2:$C$201,Inputs!$A$2:$A$201,$A106,Inputs!$B$2:$B$201,$B106),0)</f>
        <v>0.0</v>
      </c>
      <c r="G106" s="27">
        <f ca="1">D106*SUMIFS(Inputs!$R$2:$R$23,Inputs!$P$2:$P$23,$B106)/SUMIFS(Inputs!$Q$2:$Q$23,Inputs!$P$2:$P$23,$B106)</f>
        <v>0.0</v>
      </c>
      <c r="H106" s="27">
        <f ca="1">MAX(G106,$H$1)</f>
        <v>0.0</v>
      </c>
      <c r="I106" s="27">
        <f ca="1">MIN(G106,$I$1)</f>
        <v>0.0</v>
      </c>
    </row>
    <row r="107" spans="1:9" x14ac:dyDescent="0.3">
      <c r="A107" s="24">
        <v>2020</v>
      </c>
      <c r="B107" s="24" cm="1" t="str">
        <f t="array" aca="1" ref="B107" ca="1">INDIRECT("'Params'!A" &amp; (QUOTIENT(ROW(A107)-4, 10) + 1))</f>
        <v>LIMLT</v>
      </c>
      <c r="C107" s="25">
        <f ca="1">SUMIFS(Inputs!$F$2:$F$201,Inputs!$A$2:$A$201,$A107,Inputs!$B$2:$B$201,$B107)+SUMIFS(Inputs!$D$2:$D$201,Inputs!$A$2:$A$201,$A107,Inputs!$B$2:$B$201,$B107)+SUMIFS(Inputs!$G$2:$G$201,Inputs!$A$2:$A$201,$A107,Inputs!$B$2:$B$201,$B107)*+SUMIFS(Inputs!$X$2:$X$201,Inputs!$W$2:$W$201,$A107,Inputs!$V$2:$V$201,$B107)</f>
        <v>0.0</v>
      </c>
      <c r="D107" s="26">
        <f ca="1">IFERROR(SUMIFS(Inputs!$G$2:$G$201,Inputs!$A$2:$A$201,$A107,Inputs!$B$2:$B$201,$B107)/SUMIFS(Inputs!$C$2:$C$201,Inputs!$A$2:$A$201,$A107,Inputs!$B$2:$B$201,$B107),0)</f>
        <v>0.0</v>
      </c>
      <c r="E107" s="25">
        <f ca="1">SUMIFS(Inputs!$F$2:$F$201,Inputs!$A$2:$A$201,$A107,Inputs!$B$2:$B$201,$B107)+SUMIFS(Inputs!$D$2:$D$201,Inputs!$A$2:$A$201,$A107,Inputs!$B$2:$B$201,$B107)+SUMIFS(Inputs!$H$2:$H$201,Inputs!$A$2:$A$201,$A107,Inputs!$B$2:$B$201,$B107)*+SUMIFS(Inputs!$X$2:$X$201,Inputs!$W$2:$W$201,$A107,Inputs!$V$2:$V$201,$B107)</f>
        <v>0.0</v>
      </c>
      <c r="F107" s="26">
        <f ca="1">IFERROR(SUMIFS(Inputs!$H$2:$H$201,Inputs!$A$2:$A$201,$A107,Inputs!$B$2:$B$201,$B107)/SUMIFS(Inputs!$C$2:$C$201,Inputs!$A$2:$A$201,$A107,Inputs!$B$2:$B$201,$B107),0)</f>
        <v>0.0</v>
      </c>
      <c r="G107" s="27">
        <f ca="1">D107*SUMIFS(Inputs!$R$2:$R$23,Inputs!$P$2:$P$23,$B107)/SUMIFS(Inputs!$Q$2:$Q$23,Inputs!$P$2:$P$23,$B107)</f>
        <v>0.0</v>
      </c>
      <c r="H107" s="27">
        <f ca="1">MAX(G107,$H$1)</f>
        <v>0.0</v>
      </c>
      <c r="I107" s="27">
        <f ca="1">MIN(G107,$I$1)</f>
        <v>0.0</v>
      </c>
    </row>
    <row r="108" spans="1:9" x14ac:dyDescent="0.3">
      <c r="A108" s="24">
        <v>2021</v>
      </c>
      <c r="B108" s="24" cm="1" t="str">
        <f t="array" aca="1" ref="B108" ca="1">INDIRECT("'Params'!A" &amp; (QUOTIENT(ROW(A108)-4, 10) + 1))</f>
        <v>LIMLT</v>
      </c>
      <c r="C108" s="25">
        <f ca="1">SUMIFS(Inputs!$F$2:$F$201,Inputs!$A$2:$A$201,$A108,Inputs!$B$2:$B$201,$B108)+SUMIFS(Inputs!$D$2:$D$201,Inputs!$A$2:$A$201,$A108,Inputs!$B$2:$B$201,$B108)+SUMIFS(Inputs!$G$2:$G$201,Inputs!$A$2:$A$201,$A108,Inputs!$B$2:$B$201,$B108)*+SUMIFS(Inputs!$X$2:$X$201,Inputs!$W$2:$W$201,$A108,Inputs!$V$2:$V$201,$B108)</f>
        <v>0.0</v>
      </c>
      <c r="D108" s="26">
        <f ca="1">IFERROR(SUMIFS(Inputs!$G$2:$G$201,Inputs!$A$2:$A$201,$A108,Inputs!$B$2:$B$201,$B108)/SUMIFS(Inputs!$C$2:$C$201,Inputs!$A$2:$A$201,$A108,Inputs!$B$2:$B$201,$B108),0)</f>
        <v>0.0</v>
      </c>
      <c r="E108" s="25">
        <f ca="1">SUMIFS(Inputs!$F$2:$F$201,Inputs!$A$2:$A$201,$A108,Inputs!$B$2:$B$201,$B108)+SUMIFS(Inputs!$D$2:$D$201,Inputs!$A$2:$A$201,$A108,Inputs!$B$2:$B$201,$B108)+SUMIFS(Inputs!$H$2:$H$201,Inputs!$A$2:$A$201,$A108,Inputs!$B$2:$B$201,$B108)*+SUMIFS(Inputs!$X$2:$X$201,Inputs!$W$2:$W$201,$A108,Inputs!$V$2:$V$201,$B108)</f>
        <v>0.0</v>
      </c>
      <c r="F108" s="26">
        <f ca="1">IFERROR(SUMIFS(Inputs!$H$2:$H$201,Inputs!$A$2:$A$201,$A108,Inputs!$B$2:$B$201,$B108)/SUMIFS(Inputs!$C$2:$C$201,Inputs!$A$2:$A$201,$A108,Inputs!$B$2:$B$201,$B108),0)</f>
        <v>0.0</v>
      </c>
      <c r="G108" s="27">
        <f ca="1">D108*SUMIFS(Inputs!$R$2:$R$23,Inputs!$P$2:$P$23,$B108)/SUMIFS(Inputs!$Q$2:$Q$23,Inputs!$P$2:$P$23,$B108)</f>
        <v>0.0</v>
      </c>
      <c r="H108" s="27">
        <f ca="1">MAX(G108,$H$1)</f>
        <v>0.0</v>
      </c>
      <c r="I108" s="27">
        <f ca="1">MIN(G108,$I$1)</f>
        <v>0.0</v>
      </c>
    </row>
    <row r="109" spans="1:9" x14ac:dyDescent="0.3">
      <c r="A109" s="24">
        <v>2022</v>
      </c>
      <c r="B109" s="24" cm="1" t="str">
        <f t="array" aca="1" ref="B109" ca="1">INDIRECT("'Params'!A" &amp; (QUOTIENT(ROW(A109)-4, 10) + 1))</f>
        <v>LIMLT</v>
      </c>
      <c r="C109" s="25">
        <f ca="1">SUMIFS(Inputs!$F$2:$F$201,Inputs!$A$2:$A$201,$A109,Inputs!$B$2:$B$201,$B109)+SUMIFS(Inputs!$D$2:$D$201,Inputs!$A$2:$A$201,$A109,Inputs!$B$2:$B$201,$B109)+SUMIFS(Inputs!$G$2:$G$201,Inputs!$A$2:$A$201,$A109,Inputs!$B$2:$B$201,$B109)*+SUMIFS(Inputs!$X$2:$X$201,Inputs!$W$2:$W$201,$A109,Inputs!$V$2:$V$201,$B109)</f>
        <v>0.0</v>
      </c>
      <c r="D109" s="26">
        <f ca="1">IFERROR(SUMIFS(Inputs!$G$2:$G$201,Inputs!$A$2:$A$201,$A109,Inputs!$B$2:$B$201,$B109)/SUMIFS(Inputs!$C$2:$C$201,Inputs!$A$2:$A$201,$A109,Inputs!$B$2:$B$201,$B109),0)</f>
        <v>0.0</v>
      </c>
      <c r="E109" s="25">
        <f ca="1">SUMIFS(Inputs!$F$2:$F$201,Inputs!$A$2:$A$201,$A109,Inputs!$B$2:$B$201,$B109)+SUMIFS(Inputs!$D$2:$D$201,Inputs!$A$2:$A$201,$A109,Inputs!$B$2:$B$201,$B109)+SUMIFS(Inputs!$H$2:$H$201,Inputs!$A$2:$A$201,$A109,Inputs!$B$2:$B$201,$B109)*+SUMIFS(Inputs!$X$2:$X$201,Inputs!$W$2:$W$201,$A109,Inputs!$V$2:$V$201,$B109)</f>
        <v>0.0</v>
      </c>
      <c r="F109" s="26">
        <f ca="1">IFERROR(SUMIFS(Inputs!$H$2:$H$201,Inputs!$A$2:$A$201,$A109,Inputs!$B$2:$B$201,$B109)/SUMIFS(Inputs!$C$2:$C$201,Inputs!$A$2:$A$201,$A109,Inputs!$B$2:$B$201,$B109),0)</f>
        <v>0.0</v>
      </c>
      <c r="G109" s="27">
        <f ca="1">D109*SUMIFS(Inputs!$R$2:$R$23,Inputs!$P$2:$P$23,$B109)/SUMIFS(Inputs!$Q$2:$Q$23,Inputs!$P$2:$P$23,$B109)</f>
        <v>0.0</v>
      </c>
      <c r="H109" s="27">
        <f ca="1">MAX(G109,$H$1)</f>
        <v>0.0</v>
      </c>
      <c r="I109" s="27">
        <f ca="1">MIN(G109,$I$1)</f>
        <v>0.0</v>
      </c>
    </row>
    <row r="110" spans="1:9" x14ac:dyDescent="0.3">
      <c r="A110" s="24">
        <v>2023</v>
      </c>
      <c r="B110" s="24" cm="1" t="str">
        <f t="array" aca="1" ref="B110" ca="1">INDIRECT("'Params'!A" &amp; (QUOTIENT(ROW(A110)-4, 10) + 1))</f>
        <v>LIMLT</v>
      </c>
      <c r="C110" s="25">
        <f ca="1">SUMIFS(Inputs!$F$2:$F$201,Inputs!$A$2:$A$201,$A110,Inputs!$B$2:$B$201,$B110)+SUMIFS(Inputs!$D$2:$D$201,Inputs!$A$2:$A$201,$A110,Inputs!$B$2:$B$201,$B110)+SUMIFS(Inputs!$G$2:$G$201,Inputs!$A$2:$A$201,$A110,Inputs!$B$2:$B$201,$B110)*+SUMIFS(Inputs!$X$2:$X$201,Inputs!$W$2:$W$201,$A110,Inputs!$V$2:$V$201,$B110)</f>
        <v>0.0</v>
      </c>
      <c r="D110" s="26">
        <f ca="1">IFERROR(SUMIFS(Inputs!$G$2:$G$201,Inputs!$A$2:$A$201,$A110,Inputs!$B$2:$B$201,$B110)/SUMIFS(Inputs!$C$2:$C$201,Inputs!$A$2:$A$201,$A110,Inputs!$B$2:$B$201,$B110),0)</f>
        <v>0.0</v>
      </c>
      <c r="E110" s="25">
        <f ca="1">SUMIFS(Inputs!$F$2:$F$201,Inputs!$A$2:$A$201,$A110,Inputs!$B$2:$B$201,$B110)+SUMIFS(Inputs!$D$2:$D$201,Inputs!$A$2:$A$201,$A110,Inputs!$B$2:$B$201,$B110)+SUMIFS(Inputs!$H$2:$H$201,Inputs!$A$2:$A$201,$A110,Inputs!$B$2:$B$201,$B110)*+SUMIFS(Inputs!$X$2:$X$201,Inputs!$W$2:$W$201,$A110,Inputs!$V$2:$V$201,$B110)</f>
        <v>0.0</v>
      </c>
      <c r="F110" s="26">
        <f ca="1">IFERROR(SUMIFS(Inputs!$H$2:$H$201,Inputs!$A$2:$A$201,$A110,Inputs!$B$2:$B$201,$B110)/SUMIFS(Inputs!$C$2:$C$201,Inputs!$A$2:$A$201,$A110,Inputs!$B$2:$B$201,$B110),0)</f>
        <v>0.0</v>
      </c>
      <c r="G110" s="27">
        <f ca="1">D110*SUMIFS(Inputs!$R$2:$R$23,Inputs!$P$2:$P$23,$B110)/SUMIFS(Inputs!$Q$2:$Q$23,Inputs!$P$2:$P$23,$B110)</f>
        <v>0.0</v>
      </c>
      <c r="H110" s="27">
        <f ca="1">MAX(G110,$H$1)</f>
        <v>0.0</v>
      </c>
      <c r="I110" s="27">
        <f ca="1">MIN(G110,$I$1)</f>
        <v>0.0</v>
      </c>
    </row>
    <row r="111" spans="1:9" x14ac:dyDescent="0.3">
      <c r="A111" s="24">
        <v>2024</v>
      </c>
      <c r="B111" s="24" cm="1" t="str">
        <f t="array" aca="1" ref="B111" ca="1">INDIRECT("'Params'!A" &amp; (QUOTIENT(ROW(A111)-4, 10) + 1))</f>
        <v>LIMLT</v>
      </c>
      <c r="C111" s="25">
        <f ca="1">SUMIFS(Inputs!$F$2:$F$201,Inputs!$A$2:$A$201,$A111,Inputs!$B$2:$B$201,$B111)+SUMIFS(Inputs!$D$2:$D$201,Inputs!$A$2:$A$201,$A111,Inputs!$B$2:$B$201,$B111)+SUMIFS(Inputs!$G$2:$G$201,Inputs!$A$2:$A$201,$A111,Inputs!$B$2:$B$201,$B111)*+SUMIFS(Inputs!$X$2:$X$201,Inputs!$W$2:$W$201,$A111,Inputs!$V$2:$V$201,$B111)</f>
        <v>709.2696280300152</v>
      </c>
      <c r="D111" s="26">
        <f ca="1">IFERROR(SUMIFS(Inputs!$G$2:$G$201,Inputs!$A$2:$A$201,$A111,Inputs!$B$2:$B$201,$B111)/SUMIFS(Inputs!$C$2:$C$201,Inputs!$A$2:$A$201,$A111,Inputs!$B$2:$B$201,$B111),0)</f>
        <v>0.002550713572376855</v>
      </c>
      <c r="E111" s="25">
        <f ca="1">SUMIFS(Inputs!$F$2:$F$201,Inputs!$A$2:$A$201,$A111,Inputs!$B$2:$B$201,$B111)+SUMIFS(Inputs!$D$2:$D$201,Inputs!$A$2:$A$201,$A111,Inputs!$B$2:$B$201,$B111)+SUMIFS(Inputs!$H$2:$H$201,Inputs!$A$2:$A$201,$A111,Inputs!$B$2:$B$201,$B111)*+SUMIFS(Inputs!$X$2:$X$201,Inputs!$W$2:$W$201,$A111,Inputs!$V$2:$V$201,$B111)</f>
        <v>808.5195783356564</v>
      </c>
      <c r="F111" s="26">
        <f ca="1">IFERROR(SUMIFS(Inputs!$H$2:$H$201,Inputs!$A$2:$A$201,$A111,Inputs!$B$2:$B$201,$B111)/SUMIFS(Inputs!$C$2:$C$201,Inputs!$A$2:$A$201,$A111,Inputs!$B$2:$B$201,$B111),0)</f>
        <v>0.002907641580143761</v>
      </c>
      <c r="G111" s="27">
        <f ca="1">D111*SUMIFS(Inputs!$R$2:$R$23,Inputs!$P$2:$P$23,$B111)/SUMIFS(Inputs!$Q$2:$Q$23,Inputs!$P$2:$P$23,$B111)</f>
        <v>0.00038666526587094235</v>
      </c>
      <c r="H111" s="27">
        <f ca="1">MAX(G111,$H$1)</f>
        <v>0.00038666526587094235</v>
      </c>
      <c r="I111" s="27">
        <f ca="1">MIN(G111,$I$1)</f>
        <v>0.00038666526587094235</v>
      </c>
    </row>
    <row r="112" spans="1:9" x14ac:dyDescent="0.3">
      <c r="A112" s="24">
        <v>2025</v>
      </c>
      <c r="B112" s="24" cm="1" t="str">
        <f t="array" aca="1" ref="B112" ca="1">INDIRECT("'Params'!A" &amp; (QUOTIENT(ROW(A112)-4, 10) + 1))</f>
        <v>LIMLT</v>
      </c>
      <c r="C112" s="25">
        <f ca="1">SUMIFS(Inputs!$F$2:$F$201,Inputs!$A$2:$A$201,$A112,Inputs!$B$2:$B$201,$B112)+SUMIFS(Inputs!$D$2:$D$201,Inputs!$A$2:$A$201,$A112,Inputs!$B$2:$B$201,$B112)+SUMIFS(Inputs!$G$2:$G$201,Inputs!$A$2:$A$201,$A112,Inputs!$B$2:$B$201,$B112)*+SUMIFS(Inputs!$X$2:$X$201,Inputs!$W$2:$W$201,$A112,Inputs!$V$2:$V$201,$B112)</f>
        <v>170413.59666649904</v>
      </c>
      <c r="D112" s="26">
        <f ca="1">IFERROR(SUMIFS(Inputs!$G$2:$G$201,Inputs!$A$2:$A$201,$A112,Inputs!$B$2:$B$201,$B112)/SUMIFS(Inputs!$C$2:$C$201,Inputs!$A$2:$A$201,$A112,Inputs!$B$2:$B$201,$B112),0)</f>
        <v>0.571814515202016</v>
      </c>
      <c r="E112" s="25">
        <f ca="1">SUMIFS(Inputs!$F$2:$F$201,Inputs!$A$2:$A$201,$A112,Inputs!$B$2:$B$201,$B112)+SUMIFS(Inputs!$D$2:$D$201,Inputs!$A$2:$A$201,$A112,Inputs!$B$2:$B$201,$B112)+SUMIFS(Inputs!$H$2:$H$201,Inputs!$A$2:$A$201,$A112,Inputs!$B$2:$B$201,$B112)*+SUMIFS(Inputs!$X$2:$X$201,Inputs!$W$2:$W$201,$A112,Inputs!$V$2:$V$201,$B112)</f>
        <v>197188.9224002432</v>
      </c>
      <c r="F112" s="26">
        <f ca="1">IFERROR(SUMIFS(Inputs!$H$2:$H$201,Inputs!$A$2:$A$201,$A112,Inputs!$B$2:$B$201,$B112)/SUMIFS(Inputs!$C$2:$C$201,Inputs!$A$2:$A$201,$A112,Inputs!$B$2:$B$201,$B112),0)</f>
        <v>0.6616578152866908</v>
      </c>
      <c r="G112" s="27">
        <f ca="1">D112*SUMIFS(Inputs!$R$2:$R$23,Inputs!$P$2:$P$23,$B112)/SUMIFS(Inputs!$Q$2:$Q$23,Inputs!$P$2:$P$23,$B112)</f>
        <v>0.08668194419941126</v>
      </c>
      <c r="H112" s="27">
        <f ca="1">MAX(G112,$H$1)</f>
        <v>0.08668194419941126</v>
      </c>
      <c r="I112" s="27">
        <f ca="1">MIN(G112,$I$1)</f>
        <v>0.08668194419941126</v>
      </c>
    </row>
    <row r="113" spans="1:9" x14ac:dyDescent="0.3">
      <c r="A113" s="24">
        <v>2026</v>
      </c>
      <c r="B113" s="24" cm="1" t="str">
        <f t="array" aca="1" ref="B113" ca="1">INDIRECT("'Params'!A" &amp; (QUOTIENT(ROW(A113)-4, 10) + 1))</f>
        <v>LIMLT</v>
      </c>
      <c r="C113" s="25">
        <f ca="1">SUMIFS(Inputs!$F$2:$F$201,Inputs!$A$2:$A$201,$A113,Inputs!$B$2:$B$201,$B113)+SUMIFS(Inputs!$D$2:$D$201,Inputs!$A$2:$A$201,$A113,Inputs!$B$2:$B$201,$B113)+SUMIFS(Inputs!$G$2:$G$201,Inputs!$A$2:$A$201,$A113,Inputs!$B$2:$B$201,$B113)*+SUMIFS(Inputs!$X$2:$X$201,Inputs!$W$2:$W$201,$A113,Inputs!$V$2:$V$201,$B113)</f>
        <v>186073.6905553205</v>
      </c>
      <c r="D113" s="26">
        <f ca="1">IFERROR(SUMIFS(Inputs!$G$2:$G$201,Inputs!$A$2:$A$201,$A113,Inputs!$B$2:$B$201,$B113)/SUMIFS(Inputs!$C$2:$C$201,Inputs!$A$2:$A$201,$A113,Inputs!$B$2:$B$201,$B113),0)</f>
        <v>0.8923494924897216</v>
      </c>
      <c r="E113" s="25">
        <f ca="1">SUMIFS(Inputs!$F$2:$F$201,Inputs!$A$2:$A$201,$A113,Inputs!$B$2:$B$201,$B113)+SUMIFS(Inputs!$D$2:$D$201,Inputs!$A$2:$A$201,$A113,Inputs!$B$2:$B$201,$B113)+SUMIFS(Inputs!$H$2:$H$201,Inputs!$A$2:$A$201,$A113,Inputs!$B$2:$B$201,$B113)*+SUMIFS(Inputs!$X$2:$X$201,Inputs!$W$2:$W$201,$A113,Inputs!$V$2:$V$201,$B113)</f>
        <v>216628.9847125092</v>
      </c>
      <c r="F113" s="26">
        <f ca="1">IFERROR(SUMIFS(Inputs!$H$2:$H$201,Inputs!$A$2:$A$201,$A113,Inputs!$B$2:$B$201,$B113)/SUMIFS(Inputs!$C$2:$C$201,Inputs!$A$2:$A$201,$A113,Inputs!$B$2:$B$201,$B113),0)</f>
        <v>1.038882842544039</v>
      </c>
      <c r="G113" s="27">
        <f ca="1">D113*SUMIFS(Inputs!$R$2:$R$23,Inputs!$P$2:$P$23,$B113)/SUMIFS(Inputs!$Q$2:$Q$23,Inputs!$P$2:$P$23,$B113)</f>
        <v>0.13527216756125868</v>
      </c>
      <c r="H113" s="27">
        <f ca="1">MAX(G113,$H$1)</f>
        <v>0.13527216756125868</v>
      </c>
      <c r="I113" s="27">
        <f ca="1">MIN(G113,$I$1)</f>
        <v>0.13527216756125868</v>
      </c>
    </row>
    <row r="114" spans="1:9" x14ac:dyDescent="0.3">
      <c r="A114" s="24">
        <v>2017</v>
      </c>
      <c r="B114" s="24" cm="1" t="str">
        <f t="array" aca="1" ref="B114" ca="1">INDIRECT("'Params'!A" &amp; (QUOTIENT(ROW(A114)-4, 10) + 1))</f>
        <v>PRTOT</v>
      </c>
      <c r="C114" s="25">
        <f ca="1">SUMIFS(Inputs!$F$2:$F$201,Inputs!$A$2:$A$201,$A114,Inputs!$B$2:$B$201,$B114)+SUMIFS(Inputs!$D$2:$D$201,Inputs!$A$2:$A$201,$A114,Inputs!$B$2:$B$201,$B114)+SUMIFS(Inputs!$G$2:$G$201,Inputs!$A$2:$A$201,$A114,Inputs!$B$2:$B$201,$B114)*+SUMIFS(Inputs!$X$2:$X$201,Inputs!$W$2:$W$201,$A114,Inputs!$V$2:$V$201,$B114)</f>
        <v>7268.028377770264</v>
      </c>
      <c r="D114" s="26">
        <f ca="1">IFERROR(SUMIFS(Inputs!$G$2:$G$201,Inputs!$A$2:$A$201,$A114,Inputs!$B$2:$B$201,$B114)/SUMIFS(Inputs!$C$2:$C$201,Inputs!$A$2:$A$201,$A114,Inputs!$B$2:$B$201,$B114),0)</f>
        <v>0.0</v>
      </c>
      <c r="E114" s="25">
        <f ca="1">SUMIFS(Inputs!$F$2:$F$201,Inputs!$A$2:$A$201,$A114,Inputs!$B$2:$B$201,$B114)+SUMIFS(Inputs!$D$2:$D$201,Inputs!$A$2:$A$201,$A114,Inputs!$B$2:$B$201,$B114)+SUMIFS(Inputs!$H$2:$H$201,Inputs!$A$2:$A$201,$A114,Inputs!$B$2:$B$201,$B114)*+SUMIFS(Inputs!$X$2:$X$201,Inputs!$W$2:$W$201,$A114,Inputs!$V$2:$V$201,$B114)</f>
        <v>7268.028377770264</v>
      </c>
      <c r="F114" s="26">
        <f ca="1">IFERROR(SUMIFS(Inputs!$H$2:$H$201,Inputs!$A$2:$A$201,$A114,Inputs!$B$2:$B$201,$B114)/SUMIFS(Inputs!$C$2:$C$201,Inputs!$A$2:$A$201,$A114,Inputs!$B$2:$B$201,$B114),0)</f>
        <v>0.0</v>
      </c>
      <c r="G114" s="27">
        <f ca="1">D114*SUMIFS(Inputs!$R$2:$R$23,Inputs!$P$2:$P$23,$B114)/SUMIFS(Inputs!$Q$2:$Q$23,Inputs!$P$2:$P$23,$B114)</f>
        <v>0.0</v>
      </c>
      <c r="H114" s="27">
        <f ca="1">MAX(G114,$H$1)</f>
        <v>0.0</v>
      </c>
      <c r="I114" s="27">
        <f ca="1">MIN(G114,$I$1)</f>
        <v>0.0</v>
      </c>
    </row>
    <row r="115" spans="1:9" x14ac:dyDescent="0.3">
      <c r="A115" s="24">
        <v>2018</v>
      </c>
      <c r="B115" s="24" cm="1" t="str">
        <f t="array" aca="1" ref="B115" ca="1">INDIRECT("'Params'!A" &amp; (QUOTIENT(ROW(A115)-4, 10) + 1))</f>
        <v>PRTOT</v>
      </c>
      <c r="C115" s="25">
        <f ca="1">SUMIFS(Inputs!$F$2:$F$201,Inputs!$A$2:$A$201,$A115,Inputs!$B$2:$B$201,$B115)+SUMIFS(Inputs!$D$2:$D$201,Inputs!$A$2:$A$201,$A115,Inputs!$B$2:$B$201,$B115)+SUMIFS(Inputs!$G$2:$G$201,Inputs!$A$2:$A$201,$A115,Inputs!$B$2:$B$201,$B115)*+SUMIFS(Inputs!$X$2:$X$201,Inputs!$W$2:$W$201,$A115,Inputs!$V$2:$V$201,$B115)</f>
        <v>1217.5231892599259</v>
      </c>
      <c r="D115" s="26">
        <f ca="1">IFERROR(SUMIFS(Inputs!$G$2:$G$201,Inputs!$A$2:$A$201,$A115,Inputs!$B$2:$B$201,$B115)/SUMIFS(Inputs!$C$2:$C$201,Inputs!$A$2:$A$201,$A115,Inputs!$B$2:$B$201,$B115),0)</f>
        <v>0.0</v>
      </c>
      <c r="E115" s="25">
        <f ca="1">SUMIFS(Inputs!$F$2:$F$201,Inputs!$A$2:$A$201,$A115,Inputs!$B$2:$B$201,$B115)+SUMIFS(Inputs!$D$2:$D$201,Inputs!$A$2:$A$201,$A115,Inputs!$B$2:$B$201,$B115)+SUMIFS(Inputs!$H$2:$H$201,Inputs!$A$2:$A$201,$A115,Inputs!$B$2:$B$201,$B115)*+SUMIFS(Inputs!$X$2:$X$201,Inputs!$W$2:$W$201,$A115,Inputs!$V$2:$V$201,$B115)</f>
        <v>1217.5231892599259</v>
      </c>
      <c r="F115" s="26">
        <f ca="1">IFERROR(SUMIFS(Inputs!$H$2:$H$201,Inputs!$A$2:$A$201,$A115,Inputs!$B$2:$B$201,$B115)/SUMIFS(Inputs!$C$2:$C$201,Inputs!$A$2:$A$201,$A115,Inputs!$B$2:$B$201,$B115),0)</f>
        <v>0.0</v>
      </c>
      <c r="G115" s="27">
        <f ca="1">D115*SUMIFS(Inputs!$R$2:$R$23,Inputs!$P$2:$P$23,$B115)/SUMIFS(Inputs!$Q$2:$Q$23,Inputs!$P$2:$P$23,$B115)</f>
        <v>0.0</v>
      </c>
      <c r="H115" s="27">
        <f ca="1">MAX(G115,$H$1)</f>
        <v>0.0</v>
      </c>
      <c r="I115" s="27">
        <f ca="1">MIN(G115,$I$1)</f>
        <v>0.0</v>
      </c>
    </row>
    <row r="116" spans="1:9" x14ac:dyDescent="0.3">
      <c r="A116" s="24">
        <v>2019</v>
      </c>
      <c r="B116" s="24" cm="1" t="str">
        <f t="array" aca="1" ref="B116" ca="1">INDIRECT("'Params'!A" &amp; (QUOTIENT(ROW(A116)-4, 10) + 1))</f>
        <v>PRTOT</v>
      </c>
      <c r="C116" s="25">
        <f ca="1">SUMIFS(Inputs!$F$2:$F$201,Inputs!$A$2:$A$201,$A116,Inputs!$B$2:$B$201,$B116)+SUMIFS(Inputs!$D$2:$D$201,Inputs!$A$2:$A$201,$A116,Inputs!$B$2:$B$201,$B116)+SUMIFS(Inputs!$G$2:$G$201,Inputs!$A$2:$A$201,$A116,Inputs!$B$2:$B$201,$B116)*+SUMIFS(Inputs!$X$2:$X$201,Inputs!$W$2:$W$201,$A116,Inputs!$V$2:$V$201,$B116)</f>
        <v>218146.4412579998</v>
      </c>
      <c r="D116" s="26">
        <f ca="1">IFERROR(SUMIFS(Inputs!$G$2:$G$201,Inputs!$A$2:$A$201,$A116,Inputs!$B$2:$B$201,$B116)/SUMIFS(Inputs!$C$2:$C$201,Inputs!$A$2:$A$201,$A116,Inputs!$B$2:$B$201,$B116),0)</f>
        <v>0.0011207945871744677</v>
      </c>
      <c r="E116" s="25">
        <f ca="1">SUMIFS(Inputs!$F$2:$F$201,Inputs!$A$2:$A$201,$A116,Inputs!$B$2:$B$201,$B116)+SUMIFS(Inputs!$D$2:$D$201,Inputs!$A$2:$A$201,$A116,Inputs!$B$2:$B$201,$B116)+SUMIFS(Inputs!$H$2:$H$201,Inputs!$A$2:$A$201,$A116,Inputs!$B$2:$B$201,$B116)*+SUMIFS(Inputs!$X$2:$X$201,Inputs!$W$2:$W$201,$A116,Inputs!$V$2:$V$201,$B116)</f>
        <v>219843.6613430985</v>
      </c>
      <c r="F116" s="26">
        <f ca="1">IFERROR(SUMIFS(Inputs!$H$2:$H$201,Inputs!$A$2:$A$201,$A116,Inputs!$B$2:$B$201,$B116)/SUMIFS(Inputs!$C$2:$C$201,Inputs!$A$2:$A$201,$A116,Inputs!$B$2:$B$201,$B116),0)</f>
        <v>0.0013168424068277602</v>
      </c>
      <c r="G116" s="27">
        <f ca="1">D116*SUMIFS(Inputs!$R$2:$R$23,Inputs!$P$2:$P$23,$B116)/SUMIFS(Inputs!$Q$2:$Q$23,Inputs!$P$2:$P$23,$B116)</f>
        <v>0.0005422528169130184</v>
      </c>
      <c r="H116" s="27">
        <f ca="1">MAX(G116,$H$1)</f>
        <v>0.0005422528169130184</v>
      </c>
      <c r="I116" s="27">
        <f ca="1">MIN(G116,$I$1)</f>
        <v>0.0005422528169130184</v>
      </c>
    </row>
    <row r="117" spans="1:9" x14ac:dyDescent="0.3">
      <c r="A117" s="24">
        <v>2020</v>
      </c>
      <c r="B117" s="24" cm="1" t="str">
        <f t="array" aca="1" ref="B117" ca="1">INDIRECT("'Params'!A" &amp; (QUOTIENT(ROW(A117)-4, 10) + 1))</f>
        <v>PRTOT</v>
      </c>
      <c r="C117" s="25">
        <f ca="1">SUMIFS(Inputs!$F$2:$F$201,Inputs!$A$2:$A$201,$A117,Inputs!$B$2:$B$201,$B117)+SUMIFS(Inputs!$D$2:$D$201,Inputs!$A$2:$A$201,$A117,Inputs!$B$2:$B$201,$B117)+SUMIFS(Inputs!$G$2:$G$201,Inputs!$A$2:$A$201,$A117,Inputs!$B$2:$B$201,$B117)*+SUMIFS(Inputs!$X$2:$X$201,Inputs!$W$2:$W$201,$A117,Inputs!$V$2:$V$201,$B117)</f>
        <v>0.0</v>
      </c>
      <c r="D117" s="26">
        <f ca="1">IFERROR(SUMIFS(Inputs!$G$2:$G$201,Inputs!$A$2:$A$201,$A117,Inputs!$B$2:$B$201,$B117)/SUMIFS(Inputs!$C$2:$C$201,Inputs!$A$2:$A$201,$A117,Inputs!$B$2:$B$201,$B117),0)</f>
        <v>0.0</v>
      </c>
      <c r="E117" s="25">
        <f ca="1">SUMIFS(Inputs!$F$2:$F$201,Inputs!$A$2:$A$201,$A117,Inputs!$B$2:$B$201,$B117)+SUMIFS(Inputs!$D$2:$D$201,Inputs!$A$2:$A$201,$A117,Inputs!$B$2:$B$201,$B117)+SUMIFS(Inputs!$H$2:$H$201,Inputs!$A$2:$A$201,$A117,Inputs!$B$2:$B$201,$B117)*+SUMIFS(Inputs!$X$2:$X$201,Inputs!$W$2:$W$201,$A117,Inputs!$V$2:$V$201,$B117)</f>
        <v>0.0</v>
      </c>
      <c r="F117" s="26">
        <f ca="1">IFERROR(SUMIFS(Inputs!$H$2:$H$201,Inputs!$A$2:$A$201,$A117,Inputs!$B$2:$B$201,$B117)/SUMIFS(Inputs!$C$2:$C$201,Inputs!$A$2:$A$201,$A117,Inputs!$B$2:$B$201,$B117),0)</f>
        <v>0.0</v>
      </c>
      <c r="G117" s="27">
        <f ca="1">D117*SUMIFS(Inputs!$R$2:$R$23,Inputs!$P$2:$P$23,$B117)/SUMIFS(Inputs!$Q$2:$Q$23,Inputs!$P$2:$P$23,$B117)</f>
        <v>0.0</v>
      </c>
      <c r="H117" s="27">
        <f ca="1">MAX(G117,$H$1)</f>
        <v>0.0</v>
      </c>
      <c r="I117" s="27">
        <f ca="1">MIN(G117,$I$1)</f>
        <v>0.0</v>
      </c>
    </row>
    <row r="118" spans="1:9" x14ac:dyDescent="0.3">
      <c r="A118" s="24">
        <v>2021</v>
      </c>
      <c r="B118" s="24" cm="1" t="str">
        <f t="array" aca="1" ref="B118" ca="1">INDIRECT("'Params'!A" &amp; (QUOTIENT(ROW(A118)-4, 10) + 1))</f>
        <v>PRTOT</v>
      </c>
      <c r="C118" s="25">
        <f ca="1">SUMIFS(Inputs!$F$2:$F$201,Inputs!$A$2:$A$201,$A118,Inputs!$B$2:$B$201,$B118)+SUMIFS(Inputs!$D$2:$D$201,Inputs!$A$2:$A$201,$A118,Inputs!$B$2:$B$201,$B118)+SUMIFS(Inputs!$G$2:$G$201,Inputs!$A$2:$A$201,$A118,Inputs!$B$2:$B$201,$B118)*+SUMIFS(Inputs!$X$2:$X$201,Inputs!$W$2:$W$201,$A118,Inputs!$V$2:$V$201,$B118)</f>
        <v>2044822.3152204738</v>
      </c>
      <c r="D118" s="26">
        <f ca="1">IFERROR(SUMIFS(Inputs!$G$2:$G$201,Inputs!$A$2:$A$201,$A118,Inputs!$B$2:$B$201,$B118)/SUMIFS(Inputs!$C$2:$C$201,Inputs!$A$2:$A$201,$A118,Inputs!$B$2:$B$201,$B118),0)</f>
        <v>0.0</v>
      </c>
      <c r="E118" s="25">
        <f ca="1">SUMIFS(Inputs!$F$2:$F$201,Inputs!$A$2:$A$201,$A118,Inputs!$B$2:$B$201,$B118)+SUMIFS(Inputs!$D$2:$D$201,Inputs!$A$2:$A$201,$A118,Inputs!$B$2:$B$201,$B118)+SUMIFS(Inputs!$H$2:$H$201,Inputs!$A$2:$A$201,$A118,Inputs!$B$2:$B$201,$B118)*+SUMIFS(Inputs!$X$2:$X$201,Inputs!$W$2:$W$201,$A118,Inputs!$V$2:$V$201,$B118)</f>
        <v>2044822.3152204738</v>
      </c>
      <c r="F118" s="26">
        <f ca="1">IFERROR(SUMIFS(Inputs!$H$2:$H$201,Inputs!$A$2:$A$201,$A118,Inputs!$B$2:$B$201,$B118)/SUMIFS(Inputs!$C$2:$C$201,Inputs!$A$2:$A$201,$A118,Inputs!$B$2:$B$201,$B118),0)</f>
        <v>0.0</v>
      </c>
      <c r="G118" s="27">
        <f ca="1">D118*SUMIFS(Inputs!$R$2:$R$23,Inputs!$P$2:$P$23,$B118)/SUMIFS(Inputs!$Q$2:$Q$23,Inputs!$P$2:$P$23,$B118)</f>
        <v>0.0</v>
      </c>
      <c r="H118" s="27">
        <f ca="1">MAX(G118,$H$1)</f>
        <v>0.0</v>
      </c>
      <c r="I118" s="27">
        <f ca="1">MIN(G118,$I$1)</f>
        <v>0.0</v>
      </c>
    </row>
    <row r="119" spans="1:9" x14ac:dyDescent="0.3">
      <c r="A119" s="24">
        <v>2022</v>
      </c>
      <c r="B119" s="24" cm="1" t="str">
        <f t="array" aca="1" ref="B119" ca="1">INDIRECT("'Params'!A" &amp; (QUOTIENT(ROW(A119)-4, 10) + 1))</f>
        <v>PRTOT</v>
      </c>
      <c r="C119" s="25">
        <f ca="1">SUMIFS(Inputs!$F$2:$F$201,Inputs!$A$2:$A$201,$A119,Inputs!$B$2:$B$201,$B119)+SUMIFS(Inputs!$D$2:$D$201,Inputs!$A$2:$A$201,$A119,Inputs!$B$2:$B$201,$B119)+SUMIFS(Inputs!$G$2:$G$201,Inputs!$A$2:$A$201,$A119,Inputs!$B$2:$B$201,$B119)*+SUMIFS(Inputs!$X$2:$X$201,Inputs!$W$2:$W$201,$A119,Inputs!$V$2:$V$201,$B119)</f>
        <v>242407.86835481675</v>
      </c>
      <c r="D119" s="26">
        <f ca="1">IFERROR(SUMIFS(Inputs!$G$2:$G$201,Inputs!$A$2:$A$201,$A119,Inputs!$B$2:$B$201,$B119)/SUMIFS(Inputs!$C$2:$C$201,Inputs!$A$2:$A$201,$A119,Inputs!$B$2:$B$201,$B119),0)</f>
        <v>0.04295941217821392</v>
      </c>
      <c r="E119" s="25">
        <f ca="1">SUMIFS(Inputs!$F$2:$F$201,Inputs!$A$2:$A$201,$A119,Inputs!$B$2:$B$201,$B119)+SUMIFS(Inputs!$D$2:$D$201,Inputs!$A$2:$A$201,$A119,Inputs!$B$2:$B$201,$B119)+SUMIFS(Inputs!$H$2:$H$201,Inputs!$A$2:$A$201,$A119,Inputs!$B$2:$B$201,$B119)*+SUMIFS(Inputs!$X$2:$X$201,Inputs!$W$2:$W$201,$A119,Inputs!$V$2:$V$201,$B119)</f>
        <v>284809.5132249721</v>
      </c>
      <c r="F119" s="26">
        <f ca="1">IFERROR(SUMIFS(Inputs!$H$2:$H$201,Inputs!$A$2:$A$201,$A119,Inputs!$B$2:$B$201,$B119)/SUMIFS(Inputs!$C$2:$C$201,Inputs!$A$2:$A$201,$A119,Inputs!$B$2:$B$201,$B119),0)</f>
        <v>0.050473812397042704</v>
      </c>
      <c r="G119" s="27">
        <f ca="1">D119*SUMIFS(Inputs!$R$2:$R$23,Inputs!$P$2:$P$23,$B119)/SUMIFS(Inputs!$Q$2:$Q$23,Inputs!$P$2:$P$23,$B119)</f>
        <v>0.02078423872949856</v>
      </c>
      <c r="H119" s="27">
        <f ca="1">MAX(G119,$H$1)</f>
        <v>0.02078423872949856</v>
      </c>
      <c r="I119" s="27">
        <f ca="1">MIN(G119,$I$1)</f>
        <v>0.02078423872949856</v>
      </c>
    </row>
    <row r="120" spans="1:9" x14ac:dyDescent="0.3">
      <c r="A120" s="24">
        <v>2023</v>
      </c>
      <c r="B120" s="24" cm="1" t="str">
        <f t="array" aca="1" ref="B120" ca="1">INDIRECT("'Params'!A" &amp; (QUOTIENT(ROW(A120)-4, 10) + 1))</f>
        <v>PRTOT</v>
      </c>
      <c r="C120" s="25">
        <f ca="1">SUMIFS(Inputs!$F$2:$F$201,Inputs!$A$2:$A$201,$A120,Inputs!$B$2:$B$201,$B120)+SUMIFS(Inputs!$D$2:$D$201,Inputs!$A$2:$A$201,$A120,Inputs!$B$2:$B$201,$B120)+SUMIFS(Inputs!$G$2:$G$201,Inputs!$A$2:$A$201,$A120,Inputs!$B$2:$B$201,$B120)*+SUMIFS(Inputs!$X$2:$X$201,Inputs!$W$2:$W$201,$A120,Inputs!$V$2:$V$201,$B120)</f>
        <v>1973899.1111002343</v>
      </c>
      <c r="D120" s="26">
        <f ca="1">IFERROR(SUMIFS(Inputs!$G$2:$G$201,Inputs!$A$2:$A$201,$A120,Inputs!$B$2:$B$201,$B120)/SUMIFS(Inputs!$C$2:$C$201,Inputs!$A$2:$A$201,$A120,Inputs!$B$2:$B$201,$B120),0)</f>
        <v>0.024561895904993983</v>
      </c>
      <c r="E120" s="25">
        <f ca="1">SUMIFS(Inputs!$F$2:$F$201,Inputs!$A$2:$A$201,$A120,Inputs!$B$2:$B$201,$B120)+SUMIFS(Inputs!$D$2:$D$201,Inputs!$A$2:$A$201,$A120,Inputs!$B$2:$B$201,$B120)+SUMIFS(Inputs!$H$2:$H$201,Inputs!$A$2:$A$201,$A120,Inputs!$B$2:$B$201,$B120)*+SUMIFS(Inputs!$X$2:$X$201,Inputs!$W$2:$W$201,$A120,Inputs!$V$2:$V$201,$B120)</f>
        <v>2029701.0331936846</v>
      </c>
      <c r="F120" s="26">
        <f ca="1">IFERROR(SUMIFS(Inputs!$H$2:$H$201,Inputs!$A$2:$A$201,$A120,Inputs!$B$2:$B$201,$B120)/SUMIFS(Inputs!$C$2:$C$201,Inputs!$A$2:$A$201,$A120,Inputs!$B$2:$B$201,$B120),0)</f>
        <v>0.02885822834077477</v>
      </c>
      <c r="G120" s="27">
        <f ca="1">D120*SUMIFS(Inputs!$R$2:$R$23,Inputs!$P$2:$P$23,$B120)/SUMIFS(Inputs!$Q$2:$Q$23,Inputs!$P$2:$P$23,$B120)</f>
        <v>0.011883316885731944</v>
      </c>
      <c r="H120" s="27">
        <f ca="1">MAX(G120,$H$1)</f>
        <v>0.011883316885731944</v>
      </c>
      <c r="I120" s="27">
        <f ca="1">MIN(G120,$I$1)</f>
        <v>0.011883316885731944</v>
      </c>
    </row>
    <row r="121" spans="1:9" x14ac:dyDescent="0.3">
      <c r="A121" s="24">
        <v>2024</v>
      </c>
      <c r="B121" s="24" cm="1" t="str">
        <f t="array" aca="1" ref="B121" ca="1">INDIRECT("'Params'!A" &amp; (QUOTIENT(ROW(A121)-4, 10) + 1))</f>
        <v>PRTOT</v>
      </c>
      <c r="C121" s="25">
        <f ca="1">SUMIFS(Inputs!$F$2:$F$201,Inputs!$A$2:$A$201,$A121,Inputs!$B$2:$B$201,$B121)+SUMIFS(Inputs!$D$2:$D$201,Inputs!$A$2:$A$201,$A121,Inputs!$B$2:$B$201,$B121)+SUMIFS(Inputs!$G$2:$G$201,Inputs!$A$2:$A$201,$A121,Inputs!$B$2:$B$201,$B121)*+SUMIFS(Inputs!$X$2:$X$201,Inputs!$W$2:$W$201,$A121,Inputs!$V$2:$V$201,$B121)</f>
        <v>4437190.309317782</v>
      </c>
      <c r="D121" s="26">
        <f ca="1">IFERROR(SUMIFS(Inputs!$G$2:$G$201,Inputs!$A$2:$A$201,$A121,Inputs!$B$2:$B$201,$B121)/SUMIFS(Inputs!$C$2:$C$201,Inputs!$A$2:$A$201,$A121,Inputs!$B$2:$B$201,$B121),0)</f>
        <v>0.03620674875979672</v>
      </c>
      <c r="E121" s="25">
        <f ca="1">SUMIFS(Inputs!$F$2:$F$201,Inputs!$A$2:$A$201,$A121,Inputs!$B$2:$B$201,$B121)+SUMIFS(Inputs!$D$2:$D$201,Inputs!$A$2:$A$201,$A121,Inputs!$B$2:$B$201,$B121)+SUMIFS(Inputs!$H$2:$H$201,Inputs!$A$2:$A$201,$A121,Inputs!$B$2:$B$201,$B121)*+SUMIFS(Inputs!$X$2:$X$201,Inputs!$W$2:$W$201,$A121,Inputs!$V$2:$V$201,$B121)</f>
        <v>4487107.953696629</v>
      </c>
      <c r="F121" s="26">
        <f ca="1">IFERROR(SUMIFS(Inputs!$H$2:$H$201,Inputs!$A$2:$A$201,$A121,Inputs!$B$2:$B$201,$B121)/SUMIFS(Inputs!$C$2:$C$201,Inputs!$A$2:$A$201,$A121,Inputs!$B$2:$B$201,$B121),0)</f>
        <v>0.042613204827287116</v>
      </c>
      <c r="G121" s="27">
        <f ca="1">D121*SUMIFS(Inputs!$R$2:$R$23,Inputs!$P$2:$P$23,$B121)/SUMIFS(Inputs!$Q$2:$Q$23,Inputs!$P$2:$P$23,$B121)</f>
        <v>0.017517225485320368</v>
      </c>
      <c r="H121" s="27">
        <f ca="1">MAX(G121,$H$1)</f>
        <v>0.017517225485320368</v>
      </c>
      <c r="I121" s="27">
        <f ca="1">MIN(G121,$I$1)</f>
        <v>0.017517225485320368</v>
      </c>
    </row>
    <row r="122" spans="1:9" x14ac:dyDescent="0.3">
      <c r="A122" s="24">
        <v>2025</v>
      </c>
      <c r="B122" s="24" cm="1" t="str">
        <f t="array" aca="1" ref="B122" ca="1">INDIRECT("'Params'!A" &amp; (QUOTIENT(ROW(A122)-4, 10) + 1))</f>
        <v>PRTOT</v>
      </c>
      <c r="C122" s="25">
        <f ca="1">SUMIFS(Inputs!$F$2:$F$201,Inputs!$A$2:$A$201,$A122,Inputs!$B$2:$B$201,$B122)+SUMIFS(Inputs!$D$2:$D$201,Inputs!$A$2:$A$201,$A122,Inputs!$B$2:$B$201,$B122)+SUMIFS(Inputs!$G$2:$G$201,Inputs!$A$2:$A$201,$A122,Inputs!$B$2:$B$201,$B122)*+SUMIFS(Inputs!$X$2:$X$201,Inputs!$W$2:$W$201,$A122,Inputs!$V$2:$V$201,$B122)</f>
        <v>2325283.625601136</v>
      </c>
      <c r="D122" s="26">
        <f ca="1">IFERROR(SUMIFS(Inputs!$G$2:$G$201,Inputs!$A$2:$A$201,$A122,Inputs!$B$2:$B$201,$B122)/SUMIFS(Inputs!$C$2:$C$201,Inputs!$A$2:$A$201,$A122,Inputs!$B$2:$B$201,$B122),0)</f>
        <v>0.33834800271832544</v>
      </c>
      <c r="E122" s="25">
        <f ca="1">SUMIFS(Inputs!$F$2:$F$201,Inputs!$A$2:$A$201,$A122,Inputs!$B$2:$B$201,$B122)+SUMIFS(Inputs!$D$2:$D$201,Inputs!$A$2:$A$201,$A122,Inputs!$B$2:$B$201,$B122)+SUMIFS(Inputs!$H$2:$H$201,Inputs!$A$2:$A$201,$A122,Inputs!$B$2:$B$201,$B122)*+SUMIFS(Inputs!$X$2:$X$201,Inputs!$W$2:$W$201,$A122,Inputs!$V$2:$V$201,$B122)</f>
        <v>2550128.3970421935</v>
      </c>
      <c r="F122" s="26">
        <f ca="1">IFERROR(SUMIFS(Inputs!$H$2:$H$201,Inputs!$A$2:$A$201,$A122,Inputs!$B$2:$B$201,$B122)/SUMIFS(Inputs!$C$2:$C$201,Inputs!$A$2:$A$201,$A122,Inputs!$B$2:$B$201,$B122),0)</f>
        <v>0.4040442053948619</v>
      </c>
      <c r="G122" s="27">
        <f ca="1">D122*SUMIFS(Inputs!$R$2:$R$23,Inputs!$P$2:$P$23,$B122)/SUMIFS(Inputs!$Q$2:$Q$23,Inputs!$P$2:$P$23,$B122)</f>
        <v>0.1636965057383399</v>
      </c>
      <c r="H122" s="27">
        <f ca="1">MAX(G122,$H$1)</f>
        <v>0.1636965057383399</v>
      </c>
      <c r="I122" s="27">
        <f ca="1">MIN(G122,$I$1)</f>
        <v>0.1636965057383399</v>
      </c>
    </row>
    <row r="123" spans="1:9" x14ac:dyDescent="0.3">
      <c r="A123" s="24">
        <v>2026</v>
      </c>
      <c r="B123" s="24" cm="1" t="str">
        <f t="array" aca="1" ref="B123" ca="1">INDIRECT("'Params'!A" &amp; (QUOTIENT(ROW(A123)-4, 10) + 1))</f>
        <v>PRTOT</v>
      </c>
      <c r="C123" s="25">
        <f ca="1">SUMIFS(Inputs!$F$2:$F$201,Inputs!$A$2:$A$201,$A123,Inputs!$B$2:$B$201,$B123)+SUMIFS(Inputs!$D$2:$D$201,Inputs!$A$2:$A$201,$A123,Inputs!$B$2:$B$201,$B123)+SUMIFS(Inputs!$G$2:$G$201,Inputs!$A$2:$A$201,$A123,Inputs!$B$2:$B$201,$B123)*+SUMIFS(Inputs!$X$2:$X$201,Inputs!$W$2:$W$201,$A123,Inputs!$V$2:$V$201,$B123)</f>
        <v>948140.9743324704</v>
      </c>
      <c r="D123" s="26">
        <f ca="1">IFERROR(SUMIFS(Inputs!$G$2:$G$201,Inputs!$A$2:$A$201,$A123,Inputs!$B$2:$B$201,$B123)/SUMIFS(Inputs!$C$2:$C$201,Inputs!$A$2:$A$201,$A123,Inputs!$B$2:$B$201,$B123),0)</f>
        <v>0.5419517959136322</v>
      </c>
      <c r="E123" s="25">
        <f ca="1">SUMIFS(Inputs!$F$2:$F$201,Inputs!$A$2:$A$201,$A123,Inputs!$B$2:$B$201,$B123)+SUMIFS(Inputs!$D$2:$D$201,Inputs!$A$2:$A$201,$A123,Inputs!$B$2:$B$201,$B123)+SUMIFS(Inputs!$H$2:$H$201,Inputs!$A$2:$A$201,$A123,Inputs!$B$2:$B$201,$B123)*+SUMIFS(Inputs!$X$2:$X$201,Inputs!$W$2:$W$201,$A123,Inputs!$V$2:$V$201,$B123)</f>
        <v>1139761.5215446132</v>
      </c>
      <c r="F123" s="26">
        <f ca="1">IFERROR(SUMIFS(Inputs!$H$2:$H$201,Inputs!$A$2:$A$201,$A123,Inputs!$B$2:$B$201,$B123)/SUMIFS(Inputs!$C$2:$C$201,Inputs!$A$2:$A$201,$A123,Inputs!$B$2:$B$201,$B123),0)</f>
        <v>0.6563356542334884</v>
      </c>
      <c r="G123" s="27">
        <f ca="1">D123*SUMIFS(Inputs!$R$2:$R$23,Inputs!$P$2:$P$23,$B123)/SUMIFS(Inputs!$Q$2:$Q$23,Inputs!$P$2:$P$23,$B123)</f>
        <v>0.26220227268057855</v>
      </c>
      <c r="H123" s="27">
        <f ca="1">MAX(G123,$H$1)</f>
        <v>0.26220227268057855</v>
      </c>
      <c r="I123" s="27">
        <f ca="1">MIN(G123,$I$1)</f>
        <v>0.26220227268057855</v>
      </c>
    </row>
    <row r="124" spans="1:9" x14ac:dyDescent="0.3">
      <c r="A124" s="24">
        <v>2017</v>
      </c>
      <c r="B124" s="24" cm="1" t="str">
        <f t="array" aca="1" ref="B124" ca="1">INDIRECT("'Params'!A" &amp; (QUOTIENT(ROW(A124)-4, 10) + 1))</f>
        <v>DCMAR</v>
      </c>
      <c r="C124" s="25">
        <f ca="1">SUMIFS(Inputs!$F$2:$F$201,Inputs!$A$2:$A$201,$A124,Inputs!$B$2:$B$201,$B124)+SUMIFS(Inputs!$D$2:$D$201,Inputs!$A$2:$A$201,$A124,Inputs!$B$2:$B$201,$B124)+SUMIFS(Inputs!$G$2:$G$201,Inputs!$A$2:$A$201,$A124,Inputs!$B$2:$B$201,$B124)*+SUMIFS(Inputs!$X$2:$X$201,Inputs!$W$2:$W$201,$A124,Inputs!$V$2:$V$201,$B124)</f>
        <v>4065.9772449046727</v>
      </c>
      <c r="D124" s="26">
        <f ca="1">IFERROR(SUMIFS(Inputs!$G$2:$G$201,Inputs!$A$2:$A$201,$A124,Inputs!$B$2:$B$201,$B124)/SUMIFS(Inputs!$C$2:$C$201,Inputs!$A$2:$A$201,$A124,Inputs!$B$2:$B$201,$B124),0)</f>
        <v>0.0</v>
      </c>
      <c r="E124" s="25">
        <f ca="1">SUMIFS(Inputs!$F$2:$F$201,Inputs!$A$2:$A$201,$A124,Inputs!$B$2:$B$201,$B124)+SUMIFS(Inputs!$D$2:$D$201,Inputs!$A$2:$A$201,$A124,Inputs!$B$2:$B$201,$B124)+SUMIFS(Inputs!$H$2:$H$201,Inputs!$A$2:$A$201,$A124,Inputs!$B$2:$B$201,$B124)*+SUMIFS(Inputs!$X$2:$X$201,Inputs!$W$2:$W$201,$A124,Inputs!$V$2:$V$201,$B124)</f>
        <v>4065.9772449046727</v>
      </c>
      <c r="F124" s="26">
        <f ca="1">IFERROR(SUMIFS(Inputs!$H$2:$H$201,Inputs!$A$2:$A$201,$A124,Inputs!$B$2:$B$201,$B124)/SUMIFS(Inputs!$C$2:$C$201,Inputs!$A$2:$A$201,$A124,Inputs!$B$2:$B$201,$B124),0)</f>
        <v>0.0</v>
      </c>
      <c r="G124" s="27">
        <f ca="1">D124*SUMIFS(Inputs!$R$2:$R$23,Inputs!$P$2:$P$23,$B124)/SUMIFS(Inputs!$Q$2:$Q$23,Inputs!$P$2:$P$23,$B124)</f>
        <v>0.0</v>
      </c>
      <c r="H124" s="27">
        <f ca="1">MAX(G124,$H$1)</f>
        <v>0.0</v>
      </c>
      <c r="I124" s="27">
        <f ca="1">MIN(G124,$I$1)</f>
        <v>0.0</v>
      </c>
    </row>
    <row r="125" spans="1:9" x14ac:dyDescent="0.3">
      <c r="A125" s="24">
        <v>2018</v>
      </c>
      <c r="B125" s="24" cm="1" t="str">
        <f t="array" aca="1" ref="B125" ca="1">INDIRECT("'Params'!A" &amp; (QUOTIENT(ROW(A125)-4, 10) + 1))</f>
        <v>DCMAR</v>
      </c>
      <c r="C125" s="25">
        <f ca="1">SUMIFS(Inputs!$F$2:$F$201,Inputs!$A$2:$A$201,$A125,Inputs!$B$2:$B$201,$B125)+SUMIFS(Inputs!$D$2:$D$201,Inputs!$A$2:$A$201,$A125,Inputs!$B$2:$B$201,$B125)+SUMIFS(Inputs!$G$2:$G$201,Inputs!$A$2:$A$201,$A125,Inputs!$B$2:$B$201,$B125)*+SUMIFS(Inputs!$X$2:$X$201,Inputs!$W$2:$W$201,$A125,Inputs!$V$2:$V$201,$B125)</f>
        <v>4320.259608946002</v>
      </c>
      <c r="D125" s="26">
        <f ca="1">IFERROR(SUMIFS(Inputs!$G$2:$G$201,Inputs!$A$2:$A$201,$A125,Inputs!$B$2:$B$201,$B125)/SUMIFS(Inputs!$C$2:$C$201,Inputs!$A$2:$A$201,$A125,Inputs!$B$2:$B$201,$B125),0)</f>
        <v>0.0</v>
      </c>
      <c r="E125" s="25">
        <f ca="1">SUMIFS(Inputs!$F$2:$F$201,Inputs!$A$2:$A$201,$A125,Inputs!$B$2:$B$201,$B125)+SUMIFS(Inputs!$D$2:$D$201,Inputs!$A$2:$A$201,$A125,Inputs!$B$2:$B$201,$B125)+SUMIFS(Inputs!$H$2:$H$201,Inputs!$A$2:$A$201,$A125,Inputs!$B$2:$B$201,$B125)*+SUMIFS(Inputs!$X$2:$X$201,Inputs!$W$2:$W$201,$A125,Inputs!$V$2:$V$201,$B125)</f>
        <v>4320.259608946002</v>
      </c>
      <c r="F125" s="26">
        <f ca="1">IFERROR(SUMIFS(Inputs!$H$2:$H$201,Inputs!$A$2:$A$201,$A125,Inputs!$B$2:$B$201,$B125)/SUMIFS(Inputs!$C$2:$C$201,Inputs!$A$2:$A$201,$A125,Inputs!$B$2:$B$201,$B125),0)</f>
        <v>0.0</v>
      </c>
      <c r="G125" s="27">
        <f ca="1">D125*SUMIFS(Inputs!$R$2:$R$23,Inputs!$P$2:$P$23,$B125)/SUMIFS(Inputs!$Q$2:$Q$23,Inputs!$P$2:$P$23,$B125)</f>
        <v>0.0</v>
      </c>
      <c r="H125" s="27">
        <f ca="1">MAX(G125,$H$1)</f>
        <v>0.0</v>
      </c>
      <c r="I125" s="27">
        <f ca="1">MIN(G125,$I$1)</f>
        <v>0.0</v>
      </c>
    </row>
    <row r="126" spans="1:9" x14ac:dyDescent="0.3">
      <c r="A126" s="24">
        <v>2019</v>
      </c>
      <c r="B126" s="24" cm="1" t="str">
        <f t="array" aca="1" ref="B126" ca="1">INDIRECT("'Params'!A" &amp; (QUOTIENT(ROW(A126)-4, 10) + 1))</f>
        <v>DCMAR</v>
      </c>
      <c r="C126" s="25">
        <f ca="1">SUMIFS(Inputs!$F$2:$F$201,Inputs!$A$2:$A$201,$A126,Inputs!$B$2:$B$201,$B126)+SUMIFS(Inputs!$D$2:$D$201,Inputs!$A$2:$A$201,$A126,Inputs!$B$2:$B$201,$B126)+SUMIFS(Inputs!$G$2:$G$201,Inputs!$A$2:$A$201,$A126,Inputs!$B$2:$B$201,$B126)*+SUMIFS(Inputs!$X$2:$X$201,Inputs!$W$2:$W$201,$A126,Inputs!$V$2:$V$201,$B126)</f>
        <v>363867.3459525233</v>
      </c>
      <c r="D126" s="26">
        <f ca="1">IFERROR(SUMIFS(Inputs!$G$2:$G$201,Inputs!$A$2:$A$201,$A126,Inputs!$B$2:$B$201,$B126)/SUMIFS(Inputs!$C$2:$C$201,Inputs!$A$2:$A$201,$A126,Inputs!$B$2:$B$201,$B126),0)</f>
        <v>0.0</v>
      </c>
      <c r="E126" s="25">
        <f ca="1">SUMIFS(Inputs!$F$2:$F$201,Inputs!$A$2:$A$201,$A126,Inputs!$B$2:$B$201,$B126)+SUMIFS(Inputs!$D$2:$D$201,Inputs!$A$2:$A$201,$A126,Inputs!$B$2:$B$201,$B126)+SUMIFS(Inputs!$H$2:$H$201,Inputs!$A$2:$A$201,$A126,Inputs!$B$2:$B$201,$B126)*+SUMIFS(Inputs!$X$2:$X$201,Inputs!$W$2:$W$201,$A126,Inputs!$V$2:$V$201,$B126)</f>
        <v>363867.3459525233</v>
      </c>
      <c r="F126" s="26">
        <f ca="1">IFERROR(SUMIFS(Inputs!$H$2:$H$201,Inputs!$A$2:$A$201,$A126,Inputs!$B$2:$B$201,$B126)/SUMIFS(Inputs!$C$2:$C$201,Inputs!$A$2:$A$201,$A126,Inputs!$B$2:$B$201,$B126),0)</f>
        <v>0.0</v>
      </c>
      <c r="G126" s="27">
        <f ca="1">D126*SUMIFS(Inputs!$R$2:$R$23,Inputs!$P$2:$P$23,$B126)/SUMIFS(Inputs!$Q$2:$Q$23,Inputs!$P$2:$P$23,$B126)</f>
        <v>0.0</v>
      </c>
      <c r="H126" s="27">
        <f ca="1">MAX(G126,$H$1)</f>
        <v>0.0</v>
      </c>
      <c r="I126" s="27">
        <f ca="1">MIN(G126,$I$1)</f>
        <v>0.0</v>
      </c>
    </row>
    <row r="127" spans="1:9" x14ac:dyDescent="0.3">
      <c r="A127" s="24">
        <v>2020</v>
      </c>
      <c r="B127" s="24" cm="1" t="str">
        <f t="array" aca="1" ref="B127" ca="1">INDIRECT("'Params'!A" &amp; (QUOTIENT(ROW(A127)-4, 10) + 1))</f>
        <v>DCMAR</v>
      </c>
      <c r="C127" s="25">
        <f ca="1">SUMIFS(Inputs!$F$2:$F$201,Inputs!$A$2:$A$201,$A127,Inputs!$B$2:$B$201,$B127)+SUMIFS(Inputs!$D$2:$D$201,Inputs!$A$2:$A$201,$A127,Inputs!$B$2:$B$201,$B127)+SUMIFS(Inputs!$G$2:$G$201,Inputs!$A$2:$A$201,$A127,Inputs!$B$2:$B$201,$B127)*+SUMIFS(Inputs!$X$2:$X$201,Inputs!$W$2:$W$201,$A127,Inputs!$V$2:$V$201,$B127)</f>
        <v>124979.52013760898</v>
      </c>
      <c r="D127" s="26">
        <f ca="1">IFERROR(SUMIFS(Inputs!$G$2:$G$201,Inputs!$A$2:$A$201,$A127,Inputs!$B$2:$B$201,$B127)/SUMIFS(Inputs!$C$2:$C$201,Inputs!$A$2:$A$201,$A127,Inputs!$B$2:$B$201,$B127),0)</f>
        <v>0.0024276423889134494</v>
      </c>
      <c r="E127" s="25">
        <f ca="1">SUMIFS(Inputs!$F$2:$F$201,Inputs!$A$2:$A$201,$A127,Inputs!$B$2:$B$201,$B127)+SUMIFS(Inputs!$D$2:$D$201,Inputs!$A$2:$A$201,$A127,Inputs!$B$2:$B$201,$B127)+SUMIFS(Inputs!$H$2:$H$201,Inputs!$A$2:$A$201,$A127,Inputs!$B$2:$B$201,$B127)*+SUMIFS(Inputs!$X$2:$X$201,Inputs!$W$2:$W$201,$A127,Inputs!$V$2:$V$201,$B127)</f>
        <v>125652.58251943617</v>
      </c>
      <c r="F127" s="26">
        <f ca="1">IFERROR(SUMIFS(Inputs!$H$2:$H$201,Inputs!$A$2:$A$201,$A127,Inputs!$B$2:$B$201,$B127)/SUMIFS(Inputs!$C$2:$C$201,Inputs!$A$2:$A$201,$A127,Inputs!$B$2:$B$201,$B127),0)</f>
        <v>0.002784822471126441</v>
      </c>
      <c r="G127" s="27">
        <f ca="1">D127*SUMIFS(Inputs!$R$2:$R$23,Inputs!$P$2:$P$23,$B127)/SUMIFS(Inputs!$Q$2:$Q$23,Inputs!$P$2:$P$23,$B127)</f>
        <v>0.0007272720468269458</v>
      </c>
      <c r="H127" s="27">
        <f ca="1">MAX(G127,$H$1)</f>
        <v>0.0007272720468269458</v>
      </c>
      <c r="I127" s="27">
        <f ca="1">MIN(G127,$I$1)</f>
        <v>0.0007272720468269458</v>
      </c>
    </row>
    <row r="128" spans="1:9" x14ac:dyDescent="0.3">
      <c r="A128" s="24">
        <v>2021</v>
      </c>
      <c r="B128" s="24" cm="1" t="str">
        <f t="array" aca="1" ref="B128" ca="1">INDIRECT("'Params'!A" &amp; (QUOTIENT(ROW(A128)-4, 10) + 1))</f>
        <v>DCMAR</v>
      </c>
      <c r="C128" s="25">
        <f ca="1">SUMIFS(Inputs!$F$2:$F$201,Inputs!$A$2:$A$201,$A128,Inputs!$B$2:$B$201,$B128)+SUMIFS(Inputs!$D$2:$D$201,Inputs!$A$2:$A$201,$A128,Inputs!$B$2:$B$201,$B128)+SUMIFS(Inputs!$G$2:$G$201,Inputs!$A$2:$A$201,$A128,Inputs!$B$2:$B$201,$B128)*+SUMIFS(Inputs!$X$2:$X$201,Inputs!$W$2:$W$201,$A128,Inputs!$V$2:$V$201,$B128)</f>
        <v>1014452.8374351603</v>
      </c>
      <c r="D128" s="26">
        <f ca="1">IFERROR(SUMIFS(Inputs!$G$2:$G$201,Inputs!$A$2:$A$201,$A128,Inputs!$B$2:$B$201,$B128)/SUMIFS(Inputs!$C$2:$C$201,Inputs!$A$2:$A$201,$A128,Inputs!$B$2:$B$201,$B128),0)</f>
        <v>0.004044549240757727</v>
      </c>
      <c r="E128" s="25">
        <f ca="1">SUMIFS(Inputs!$F$2:$F$201,Inputs!$A$2:$A$201,$A128,Inputs!$B$2:$B$201,$B128)+SUMIFS(Inputs!$D$2:$D$201,Inputs!$A$2:$A$201,$A128,Inputs!$B$2:$B$201,$B128)+SUMIFS(Inputs!$H$2:$H$201,Inputs!$A$2:$A$201,$A128,Inputs!$B$2:$B$201,$B128)*+SUMIFS(Inputs!$X$2:$X$201,Inputs!$W$2:$W$201,$A128,Inputs!$V$2:$V$201,$B128)</f>
        <v>1019087.4624054903</v>
      </c>
      <c r="F128" s="26">
        <f ca="1">IFERROR(SUMIFS(Inputs!$H$2:$H$201,Inputs!$A$2:$A$201,$A128,Inputs!$B$2:$B$201,$B128)/SUMIFS(Inputs!$C$2:$C$201,Inputs!$A$2:$A$201,$A128,Inputs!$B$2:$B$201,$B128),0)</f>
        <v>0.004639625532441247</v>
      </c>
      <c r="G128" s="27">
        <f ca="1">D128*SUMIFS(Inputs!$R$2:$R$23,Inputs!$P$2:$P$23,$B128)/SUMIFS(Inputs!$Q$2:$Q$23,Inputs!$P$2:$P$23,$B128)</f>
        <v>0.0012116642954709553</v>
      </c>
      <c r="H128" s="27">
        <f ca="1">MAX(G128,$H$1)</f>
        <v>0.0012116642954709553</v>
      </c>
      <c r="I128" s="27">
        <f ca="1">MIN(G128,$I$1)</f>
        <v>0.0012116642954709553</v>
      </c>
    </row>
    <row r="129" spans="1:9" x14ac:dyDescent="0.3">
      <c r="A129" s="24">
        <v>2022</v>
      </c>
      <c r="B129" s="24" cm="1" t="str">
        <f t="array" aca="1" ref="B129" ca="1">INDIRECT("'Params'!A" &amp; (QUOTIENT(ROW(A129)-4, 10) + 1))</f>
        <v>DCMAR</v>
      </c>
      <c r="C129" s="25">
        <f ca="1">SUMIFS(Inputs!$F$2:$F$201,Inputs!$A$2:$A$201,$A129,Inputs!$B$2:$B$201,$B129)+SUMIFS(Inputs!$D$2:$D$201,Inputs!$A$2:$A$201,$A129,Inputs!$B$2:$B$201,$B129)+SUMIFS(Inputs!$G$2:$G$201,Inputs!$A$2:$A$201,$A129,Inputs!$B$2:$B$201,$B129)*+SUMIFS(Inputs!$X$2:$X$201,Inputs!$W$2:$W$201,$A129,Inputs!$V$2:$V$201,$B129)</f>
        <v>1954536.5650367592</v>
      </c>
      <c r="D129" s="26">
        <f ca="1">IFERROR(SUMIFS(Inputs!$G$2:$G$201,Inputs!$A$2:$A$201,$A129,Inputs!$B$2:$B$201,$B129)/SUMIFS(Inputs!$C$2:$C$201,Inputs!$A$2:$A$201,$A129,Inputs!$B$2:$B$201,$B129),0)</f>
        <v>0.279401830226635</v>
      </c>
      <c r="E129" s="25">
        <f ca="1">SUMIFS(Inputs!$F$2:$F$201,Inputs!$A$2:$A$201,$A129,Inputs!$B$2:$B$201,$B129)+SUMIFS(Inputs!$D$2:$D$201,Inputs!$A$2:$A$201,$A129,Inputs!$B$2:$B$201,$B129)+SUMIFS(Inputs!$H$2:$H$201,Inputs!$A$2:$A$201,$A129,Inputs!$B$2:$B$201,$B129)*+SUMIFS(Inputs!$X$2:$X$201,Inputs!$W$2:$W$201,$A129,Inputs!$V$2:$V$201,$B129)</f>
        <v>2226713.8911604555</v>
      </c>
      <c r="F129" s="26">
        <f ca="1">IFERROR(SUMIFS(Inputs!$H$2:$H$201,Inputs!$A$2:$A$201,$A129,Inputs!$B$2:$B$201,$B129)/SUMIFS(Inputs!$C$2:$C$201,Inputs!$A$2:$A$201,$A129,Inputs!$B$2:$B$201,$B129),0)</f>
        <v>0.3205103432212018</v>
      </c>
      <c r="G129" s="27">
        <f ca="1">D129*SUMIFS(Inputs!$R$2:$R$23,Inputs!$P$2:$P$23,$B129)/SUMIFS(Inputs!$Q$2:$Q$23,Inputs!$P$2:$P$23,$B129)</f>
        <v>0.08370307829690983</v>
      </c>
      <c r="H129" s="27">
        <f ca="1">MAX(G129,$H$1)</f>
        <v>0.08370307829690983</v>
      </c>
      <c r="I129" s="27">
        <f ca="1">MIN(G129,$I$1)</f>
        <v>0.08370307829690983</v>
      </c>
    </row>
    <row r="130" spans="1:9" x14ac:dyDescent="0.3">
      <c r="A130" s="24">
        <v>2023</v>
      </c>
      <c r="B130" s="24" cm="1" t="str">
        <f t="array" aca="1" ref="B130" ca="1">INDIRECT("'Params'!A" &amp; (QUOTIENT(ROW(A130)-4, 10) + 1))</f>
        <v>DCMAR</v>
      </c>
      <c r="C130" s="25">
        <f ca="1">SUMIFS(Inputs!$F$2:$F$201,Inputs!$A$2:$A$201,$A130,Inputs!$B$2:$B$201,$B130)+SUMIFS(Inputs!$D$2:$D$201,Inputs!$A$2:$A$201,$A130,Inputs!$B$2:$B$201,$B130)+SUMIFS(Inputs!$G$2:$G$201,Inputs!$A$2:$A$201,$A130,Inputs!$B$2:$B$201,$B130)*+SUMIFS(Inputs!$X$2:$X$201,Inputs!$W$2:$W$201,$A130,Inputs!$V$2:$V$201,$B130)</f>
        <v>824023.5892657468</v>
      </c>
      <c r="D130" s="26">
        <f ca="1">IFERROR(SUMIFS(Inputs!$G$2:$G$201,Inputs!$A$2:$A$201,$A130,Inputs!$B$2:$B$201,$B130)/SUMIFS(Inputs!$C$2:$C$201,Inputs!$A$2:$A$201,$A130,Inputs!$B$2:$B$201,$B130),0)</f>
        <v>0.10184543952386947</v>
      </c>
      <c r="E130" s="25">
        <f ca="1">SUMIFS(Inputs!$F$2:$F$201,Inputs!$A$2:$A$201,$A130,Inputs!$B$2:$B$201,$B130)+SUMIFS(Inputs!$D$2:$D$201,Inputs!$A$2:$A$201,$A130,Inputs!$B$2:$B$201,$B130)+SUMIFS(Inputs!$H$2:$H$201,Inputs!$A$2:$A$201,$A130,Inputs!$B$2:$B$201,$B130)*+SUMIFS(Inputs!$X$2:$X$201,Inputs!$W$2:$W$201,$A130,Inputs!$V$2:$V$201,$B130)</f>
        <v>911842.03587935</v>
      </c>
      <c r="F130" s="26">
        <f ca="1">IFERROR(SUMIFS(Inputs!$H$2:$H$201,Inputs!$A$2:$A$201,$A130,Inputs!$B$2:$B$201,$B130)/SUMIFS(Inputs!$C$2:$C$201,Inputs!$A$2:$A$201,$A130,Inputs!$B$2:$B$201,$B130),0)</f>
        <v>0.11683000340703491</v>
      </c>
      <c r="G130" s="27">
        <f ca="1">D130*SUMIFS(Inputs!$R$2:$R$23,Inputs!$P$2:$P$23,$B130)/SUMIFS(Inputs!$Q$2:$Q$23,Inputs!$P$2:$P$23,$B130)</f>
        <v>0.03051081230117506</v>
      </c>
      <c r="H130" s="27">
        <f ca="1">MAX(G130,$H$1)</f>
        <v>0.03051081230117506</v>
      </c>
      <c r="I130" s="27">
        <f ca="1">MIN(G130,$I$1)</f>
        <v>0.03051081230117506</v>
      </c>
    </row>
    <row r="131" spans="1:9" x14ac:dyDescent="0.3">
      <c r="A131" s="24">
        <v>2024</v>
      </c>
      <c r="B131" s="24" cm="1" t="str">
        <f t="array" aca="1" ref="B131" ca="1">INDIRECT("'Params'!A" &amp; (QUOTIENT(ROW(A131)-4, 10) + 1))</f>
        <v>DCMAR</v>
      </c>
      <c r="C131" s="25">
        <f ca="1">SUMIFS(Inputs!$F$2:$F$201,Inputs!$A$2:$A$201,$A131,Inputs!$B$2:$B$201,$B131)+SUMIFS(Inputs!$D$2:$D$201,Inputs!$A$2:$A$201,$A131,Inputs!$B$2:$B$201,$B131)+SUMIFS(Inputs!$G$2:$G$201,Inputs!$A$2:$A$201,$A131,Inputs!$B$2:$B$201,$B131)*+SUMIFS(Inputs!$X$2:$X$201,Inputs!$W$2:$W$201,$A131,Inputs!$V$2:$V$201,$B131)</f>
        <v>516722.04869717994</v>
      </c>
      <c r="D131" s="26">
        <f ca="1">IFERROR(SUMIFS(Inputs!$G$2:$G$201,Inputs!$A$2:$A$201,$A131,Inputs!$B$2:$B$201,$B131)/SUMIFS(Inputs!$C$2:$C$201,Inputs!$A$2:$A$201,$A131,Inputs!$B$2:$B$201,$B131),0)</f>
        <v>0.5274024673120099</v>
      </c>
      <c r="E131" s="25">
        <f ca="1">SUMIFS(Inputs!$F$2:$F$201,Inputs!$A$2:$A$201,$A131,Inputs!$B$2:$B$201,$B131)+SUMIFS(Inputs!$D$2:$D$201,Inputs!$A$2:$A$201,$A131,Inputs!$B$2:$B$201,$B131)+SUMIFS(Inputs!$H$2:$H$201,Inputs!$A$2:$A$201,$A131,Inputs!$B$2:$B$201,$B131)*+SUMIFS(Inputs!$X$2:$X$201,Inputs!$W$2:$W$201,$A131,Inputs!$V$2:$V$201,$B131)</f>
        <v>593272.4509826886</v>
      </c>
      <c r="F131" s="26">
        <f ca="1">IFERROR(SUMIFS(Inputs!$H$2:$H$201,Inputs!$A$2:$A$201,$A131,Inputs!$B$2:$B$201,$B131)/SUMIFS(Inputs!$C$2:$C$201,Inputs!$A$2:$A$201,$A131,Inputs!$B$2:$B$201,$B131),0)</f>
        <v>0.6062373418621397</v>
      </c>
      <c r="G131" s="27">
        <f ca="1">D131*SUMIFS(Inputs!$R$2:$R$23,Inputs!$P$2:$P$23,$B131)/SUMIFS(Inputs!$Q$2:$Q$23,Inputs!$P$2:$P$23,$B131)</f>
        <v>0.1579990008640691</v>
      </c>
      <c r="H131" s="27">
        <f ca="1">MAX(G131,$H$1)</f>
        <v>0.1579990008640691</v>
      </c>
      <c r="I131" s="27">
        <f ca="1">MIN(G131,$I$1)</f>
        <v>0.1579990008640691</v>
      </c>
    </row>
    <row r="132" spans="1:9" x14ac:dyDescent="0.3">
      <c r="A132" s="24">
        <v>2025</v>
      </c>
      <c r="B132" s="24" cm="1" t="str">
        <f t="array" aca="1" ref="B132" ca="1">INDIRECT("'Params'!A" &amp; (QUOTIENT(ROW(A132)-4, 10) + 1))</f>
        <v>DCMAR</v>
      </c>
      <c r="C132" s="25">
        <f ca="1">SUMIFS(Inputs!$F$2:$F$201,Inputs!$A$2:$A$201,$A132,Inputs!$B$2:$B$201,$B132)+SUMIFS(Inputs!$D$2:$D$201,Inputs!$A$2:$A$201,$A132,Inputs!$B$2:$B$201,$B132)+SUMIFS(Inputs!$G$2:$G$201,Inputs!$A$2:$A$201,$A132,Inputs!$B$2:$B$201,$B132)*+SUMIFS(Inputs!$X$2:$X$201,Inputs!$W$2:$W$201,$A132,Inputs!$V$2:$V$201,$B132)</f>
        <v>0.0</v>
      </c>
      <c r="D132" s="26">
        <f ca="1">IFERROR(SUMIFS(Inputs!$G$2:$G$201,Inputs!$A$2:$A$201,$A132,Inputs!$B$2:$B$201,$B132)/SUMIFS(Inputs!$C$2:$C$201,Inputs!$A$2:$A$201,$A132,Inputs!$B$2:$B$201,$B132),0)</f>
        <v>0.0</v>
      </c>
      <c r="E132" s="25">
        <f ca="1">SUMIFS(Inputs!$F$2:$F$201,Inputs!$A$2:$A$201,$A132,Inputs!$B$2:$B$201,$B132)+SUMIFS(Inputs!$D$2:$D$201,Inputs!$A$2:$A$201,$A132,Inputs!$B$2:$B$201,$B132)+SUMIFS(Inputs!$H$2:$H$201,Inputs!$A$2:$A$201,$A132,Inputs!$B$2:$B$201,$B132)*+SUMIFS(Inputs!$X$2:$X$201,Inputs!$W$2:$W$201,$A132,Inputs!$V$2:$V$201,$B132)</f>
        <v>0.0</v>
      </c>
      <c r="F132" s="26">
        <f ca="1">IFERROR(SUMIFS(Inputs!$H$2:$H$201,Inputs!$A$2:$A$201,$A132,Inputs!$B$2:$B$201,$B132)/SUMIFS(Inputs!$C$2:$C$201,Inputs!$A$2:$A$201,$A132,Inputs!$B$2:$B$201,$B132),0)</f>
        <v>0.0</v>
      </c>
      <c r="G132" s="27">
        <f ca="1">D132*SUMIFS(Inputs!$R$2:$R$23,Inputs!$P$2:$P$23,$B132)/SUMIFS(Inputs!$Q$2:$Q$23,Inputs!$P$2:$P$23,$B132)</f>
        <v>0.0</v>
      </c>
      <c r="H132" s="27">
        <f ca="1">MAX(G132,$H$1)</f>
        <v>0.0</v>
      </c>
      <c r="I132" s="27">
        <f ca="1">MIN(G132,$I$1)</f>
        <v>0.0</v>
      </c>
    </row>
    <row r="133" spans="1:9" x14ac:dyDescent="0.3">
      <c r="A133" s="24">
        <v>2026</v>
      </c>
      <c r="B133" s="24" cm="1" t="str">
        <f t="array" aca="1" ref="B133" ca="1">INDIRECT("'Params'!A" &amp; (QUOTIENT(ROW(A133)-4, 10) + 1))</f>
        <v>DCMAR</v>
      </c>
      <c r="C133" s="25">
        <f ca="1">SUMIFS(Inputs!$F$2:$F$201,Inputs!$A$2:$A$201,$A133,Inputs!$B$2:$B$201,$B133)+SUMIFS(Inputs!$D$2:$D$201,Inputs!$A$2:$A$201,$A133,Inputs!$B$2:$B$201,$B133)+SUMIFS(Inputs!$G$2:$G$201,Inputs!$A$2:$A$201,$A133,Inputs!$B$2:$B$201,$B133)*+SUMIFS(Inputs!$X$2:$X$201,Inputs!$W$2:$W$201,$A133,Inputs!$V$2:$V$201,$B133)</f>
        <v>0.0</v>
      </c>
      <c r="D133" s="26">
        <f ca="1">IFERROR(SUMIFS(Inputs!$G$2:$G$201,Inputs!$A$2:$A$201,$A133,Inputs!$B$2:$B$201,$B133)/SUMIFS(Inputs!$C$2:$C$201,Inputs!$A$2:$A$201,$A133,Inputs!$B$2:$B$201,$B133),0)</f>
        <v>0.0</v>
      </c>
      <c r="E133" s="25">
        <f ca="1">SUMIFS(Inputs!$F$2:$F$201,Inputs!$A$2:$A$201,$A133,Inputs!$B$2:$B$201,$B133)+SUMIFS(Inputs!$D$2:$D$201,Inputs!$A$2:$A$201,$A133,Inputs!$B$2:$B$201,$B133)+SUMIFS(Inputs!$H$2:$H$201,Inputs!$A$2:$A$201,$A133,Inputs!$B$2:$B$201,$B133)*+SUMIFS(Inputs!$X$2:$X$201,Inputs!$W$2:$W$201,$A133,Inputs!$V$2:$V$201,$B133)</f>
        <v>0.0</v>
      </c>
      <c r="F133" s="26">
        <f ca="1">IFERROR(SUMIFS(Inputs!$H$2:$H$201,Inputs!$A$2:$A$201,$A133,Inputs!$B$2:$B$201,$B133)/SUMIFS(Inputs!$C$2:$C$201,Inputs!$A$2:$A$201,$A133,Inputs!$B$2:$B$201,$B133),0)</f>
        <v>0.0</v>
      </c>
      <c r="G133" s="27">
        <f ca="1">D133*SUMIFS(Inputs!$R$2:$R$23,Inputs!$P$2:$P$23,$B133)/SUMIFS(Inputs!$Q$2:$Q$23,Inputs!$P$2:$P$23,$B133)</f>
        <v>0.0</v>
      </c>
      <c r="H133" s="27">
        <f ca="1">MAX(G133,$H$1)</f>
        <v>0.0</v>
      </c>
      <c r="I133" s="27">
        <f ca="1">MIN(G133,$I$1)</f>
        <v>0.0</v>
      </c>
    </row>
    <row r="134" spans="1:9" x14ac:dyDescent="0.3">
      <c r="A134" s="24">
        <v>2017</v>
      </c>
      <c r="B134" s="24" cm="1" t="str">
        <f t="array" aca="1" ref="B134" ca="1">INDIRECT("'Params'!A" &amp; (QUOTIENT(ROW(A134)-4, 10) + 1))</f>
        <v>DCENR</v>
      </c>
      <c r="C134" s="25">
        <f ca="1">SUMIFS(Inputs!$F$2:$F$201,Inputs!$A$2:$A$201,$A134,Inputs!$B$2:$B$201,$B134)+SUMIFS(Inputs!$D$2:$D$201,Inputs!$A$2:$A$201,$A134,Inputs!$B$2:$B$201,$B134)+SUMIFS(Inputs!$G$2:$G$201,Inputs!$A$2:$A$201,$A134,Inputs!$B$2:$B$201,$B134)*+SUMIFS(Inputs!$X$2:$X$201,Inputs!$W$2:$W$201,$A134,Inputs!$V$2:$V$201,$B134)</f>
        <v>0.000524999892244523</v>
      </c>
      <c r="D134" s="26">
        <f ca="1">IFERROR(SUMIFS(Inputs!$G$2:$G$201,Inputs!$A$2:$A$201,$A134,Inputs!$B$2:$B$201,$B134)/SUMIFS(Inputs!$C$2:$C$201,Inputs!$A$2:$A$201,$A134,Inputs!$B$2:$B$201,$B134),0)</f>
        <v>0.0</v>
      </c>
      <c r="E134" s="25">
        <f ca="1">SUMIFS(Inputs!$F$2:$F$201,Inputs!$A$2:$A$201,$A134,Inputs!$B$2:$B$201,$B134)+SUMIFS(Inputs!$D$2:$D$201,Inputs!$A$2:$A$201,$A134,Inputs!$B$2:$B$201,$B134)+SUMIFS(Inputs!$H$2:$H$201,Inputs!$A$2:$A$201,$A134,Inputs!$B$2:$B$201,$B134)*+SUMIFS(Inputs!$X$2:$X$201,Inputs!$W$2:$W$201,$A134,Inputs!$V$2:$V$201,$B134)</f>
        <v>0.000524999892244523</v>
      </c>
      <c r="F134" s="26">
        <f ca="1">IFERROR(SUMIFS(Inputs!$H$2:$H$201,Inputs!$A$2:$A$201,$A134,Inputs!$B$2:$B$201,$B134)/SUMIFS(Inputs!$C$2:$C$201,Inputs!$A$2:$A$201,$A134,Inputs!$B$2:$B$201,$B134),0)</f>
        <v>0.0</v>
      </c>
      <c r="G134" s="27">
        <f ca="1">D134*SUMIFS(Inputs!$R$2:$R$23,Inputs!$P$2:$P$23,$B134)/SUMIFS(Inputs!$Q$2:$Q$23,Inputs!$P$2:$P$23,$B134)</f>
        <v>0.0</v>
      </c>
      <c r="H134" s="27">
        <f ca="1">MAX(G134,$H$1)</f>
        <v>0.0</v>
      </c>
      <c r="I134" s="27">
        <f ca="1">MIN(G134,$I$1)</f>
        <v>0.0</v>
      </c>
    </row>
    <row r="135" spans="1:9" x14ac:dyDescent="0.3">
      <c r="A135" s="24">
        <v>2018</v>
      </c>
      <c r="B135" s="24" cm="1" t="str">
        <f t="array" aca="1" ref="B135" ca="1">INDIRECT("'Params'!A" &amp; (QUOTIENT(ROW(A135)-4, 10) + 1))</f>
        <v>DCENR</v>
      </c>
      <c r="C135" s="25">
        <f ca="1">SUMIFS(Inputs!$F$2:$F$201,Inputs!$A$2:$A$201,$A135,Inputs!$B$2:$B$201,$B135)+SUMIFS(Inputs!$D$2:$D$201,Inputs!$A$2:$A$201,$A135,Inputs!$B$2:$B$201,$B135)+SUMIFS(Inputs!$G$2:$G$201,Inputs!$A$2:$A$201,$A135,Inputs!$B$2:$B$201,$B135)*+SUMIFS(Inputs!$X$2:$X$201,Inputs!$W$2:$W$201,$A135,Inputs!$V$2:$V$201,$B135)</f>
        <v>-1.0913936421275139e-11</v>
      </c>
      <c r="D135" s="26">
        <f ca="1">IFERROR(SUMIFS(Inputs!$G$2:$G$201,Inputs!$A$2:$A$201,$A135,Inputs!$B$2:$B$201,$B135)/SUMIFS(Inputs!$C$2:$C$201,Inputs!$A$2:$A$201,$A135,Inputs!$B$2:$B$201,$B135),0)</f>
        <v>0.0</v>
      </c>
      <c r="E135" s="25">
        <f ca="1">SUMIFS(Inputs!$F$2:$F$201,Inputs!$A$2:$A$201,$A135,Inputs!$B$2:$B$201,$B135)+SUMIFS(Inputs!$D$2:$D$201,Inputs!$A$2:$A$201,$A135,Inputs!$B$2:$B$201,$B135)+SUMIFS(Inputs!$H$2:$H$201,Inputs!$A$2:$A$201,$A135,Inputs!$B$2:$B$201,$B135)*+SUMIFS(Inputs!$X$2:$X$201,Inputs!$W$2:$W$201,$A135,Inputs!$V$2:$V$201,$B135)</f>
        <v>-1.0913936421275139e-11</v>
      </c>
      <c r="F135" s="26">
        <f ca="1">IFERROR(SUMIFS(Inputs!$H$2:$H$201,Inputs!$A$2:$A$201,$A135,Inputs!$B$2:$B$201,$B135)/SUMIFS(Inputs!$C$2:$C$201,Inputs!$A$2:$A$201,$A135,Inputs!$B$2:$B$201,$B135),0)</f>
        <v>0.0</v>
      </c>
      <c r="G135" s="27">
        <f ca="1">D135*SUMIFS(Inputs!$R$2:$R$23,Inputs!$P$2:$P$23,$B135)/SUMIFS(Inputs!$Q$2:$Q$23,Inputs!$P$2:$P$23,$B135)</f>
        <v>0.0</v>
      </c>
      <c r="H135" s="27">
        <f ca="1">MAX(G135,$H$1)</f>
        <v>0.0</v>
      </c>
      <c r="I135" s="27">
        <f ca="1">MIN(G135,$I$1)</f>
        <v>0.0</v>
      </c>
    </row>
    <row r="136" spans="1:9" x14ac:dyDescent="0.3">
      <c r="A136" s="24">
        <v>2019</v>
      </c>
      <c r="B136" s="24" cm="1" t="str">
        <f t="array" aca="1" ref="B136" ca="1">INDIRECT("'Params'!A" &amp; (QUOTIENT(ROW(A136)-4, 10) + 1))</f>
        <v>DCENR</v>
      </c>
      <c r="C136" s="25">
        <f ca="1">SUMIFS(Inputs!$F$2:$F$201,Inputs!$A$2:$A$201,$A136,Inputs!$B$2:$B$201,$B136)+SUMIFS(Inputs!$D$2:$D$201,Inputs!$A$2:$A$201,$A136,Inputs!$B$2:$B$201,$B136)+SUMIFS(Inputs!$G$2:$G$201,Inputs!$A$2:$A$201,$A136,Inputs!$B$2:$B$201,$B136)*+SUMIFS(Inputs!$X$2:$X$201,Inputs!$W$2:$W$201,$A136,Inputs!$V$2:$V$201,$B136)</f>
        <v>0.0</v>
      </c>
      <c r="D136" s="26">
        <f ca="1">IFERROR(SUMIFS(Inputs!$G$2:$G$201,Inputs!$A$2:$A$201,$A136,Inputs!$B$2:$B$201,$B136)/SUMIFS(Inputs!$C$2:$C$201,Inputs!$A$2:$A$201,$A136,Inputs!$B$2:$B$201,$B136),0)</f>
        <v>0.0</v>
      </c>
      <c r="E136" s="25">
        <f ca="1">SUMIFS(Inputs!$F$2:$F$201,Inputs!$A$2:$A$201,$A136,Inputs!$B$2:$B$201,$B136)+SUMIFS(Inputs!$D$2:$D$201,Inputs!$A$2:$A$201,$A136,Inputs!$B$2:$B$201,$B136)+SUMIFS(Inputs!$H$2:$H$201,Inputs!$A$2:$A$201,$A136,Inputs!$B$2:$B$201,$B136)*+SUMIFS(Inputs!$X$2:$X$201,Inputs!$W$2:$W$201,$A136,Inputs!$V$2:$V$201,$B136)</f>
        <v>0.0</v>
      </c>
      <c r="F136" s="26">
        <f ca="1">IFERROR(SUMIFS(Inputs!$H$2:$H$201,Inputs!$A$2:$A$201,$A136,Inputs!$B$2:$B$201,$B136)/SUMIFS(Inputs!$C$2:$C$201,Inputs!$A$2:$A$201,$A136,Inputs!$B$2:$B$201,$B136),0)</f>
        <v>0.0</v>
      </c>
      <c r="G136" s="27">
        <f ca="1">D136*SUMIFS(Inputs!$R$2:$R$23,Inputs!$P$2:$P$23,$B136)/SUMIFS(Inputs!$Q$2:$Q$23,Inputs!$P$2:$P$23,$B136)</f>
        <v>0.0</v>
      </c>
      <c r="H136" s="27">
        <f ca="1">MAX(G136,$H$1)</f>
        <v>0.0</v>
      </c>
      <c r="I136" s="27">
        <f ca="1">MIN(G136,$I$1)</f>
        <v>0.0</v>
      </c>
    </row>
    <row r="137" spans="1:9" x14ac:dyDescent="0.3">
      <c r="A137" s="24">
        <v>2020</v>
      </c>
      <c r="B137" s="24" cm="1" t="str">
        <f t="array" aca="1" ref="B137" ca="1">INDIRECT("'Params'!A" &amp; (QUOTIENT(ROW(A137)-4, 10) + 1))</f>
        <v>DCENR</v>
      </c>
      <c r="C137" s="25">
        <f ca="1">SUMIFS(Inputs!$F$2:$F$201,Inputs!$A$2:$A$201,$A137,Inputs!$B$2:$B$201,$B137)+SUMIFS(Inputs!$D$2:$D$201,Inputs!$A$2:$A$201,$A137,Inputs!$B$2:$B$201,$B137)+SUMIFS(Inputs!$G$2:$G$201,Inputs!$A$2:$A$201,$A137,Inputs!$B$2:$B$201,$B137)*+SUMIFS(Inputs!$X$2:$X$201,Inputs!$W$2:$W$201,$A137,Inputs!$V$2:$V$201,$B137)</f>
        <v>0.0</v>
      </c>
      <c r="D137" s="26">
        <f ca="1">IFERROR(SUMIFS(Inputs!$G$2:$G$201,Inputs!$A$2:$A$201,$A137,Inputs!$B$2:$B$201,$B137)/SUMIFS(Inputs!$C$2:$C$201,Inputs!$A$2:$A$201,$A137,Inputs!$B$2:$B$201,$B137),0)</f>
        <v>0.0</v>
      </c>
      <c r="E137" s="25">
        <f ca="1">SUMIFS(Inputs!$F$2:$F$201,Inputs!$A$2:$A$201,$A137,Inputs!$B$2:$B$201,$B137)+SUMIFS(Inputs!$D$2:$D$201,Inputs!$A$2:$A$201,$A137,Inputs!$B$2:$B$201,$B137)+SUMIFS(Inputs!$H$2:$H$201,Inputs!$A$2:$A$201,$A137,Inputs!$B$2:$B$201,$B137)*+SUMIFS(Inputs!$X$2:$X$201,Inputs!$W$2:$W$201,$A137,Inputs!$V$2:$V$201,$B137)</f>
        <v>0.0</v>
      </c>
      <c r="F137" s="26">
        <f ca="1">IFERROR(SUMIFS(Inputs!$H$2:$H$201,Inputs!$A$2:$A$201,$A137,Inputs!$B$2:$B$201,$B137)/SUMIFS(Inputs!$C$2:$C$201,Inputs!$A$2:$A$201,$A137,Inputs!$B$2:$B$201,$B137),0)</f>
        <v>0.0</v>
      </c>
      <c r="G137" s="27">
        <f ca="1">D137*SUMIFS(Inputs!$R$2:$R$23,Inputs!$P$2:$P$23,$B137)/SUMIFS(Inputs!$Q$2:$Q$23,Inputs!$P$2:$P$23,$B137)</f>
        <v>0.0</v>
      </c>
      <c r="H137" s="27">
        <f ca="1">MAX(G137,$H$1)</f>
        <v>0.0</v>
      </c>
      <c r="I137" s="27">
        <f ca="1">MIN(G137,$I$1)</f>
        <v>0.0</v>
      </c>
    </row>
    <row r="138" spans="1:9" x14ac:dyDescent="0.3">
      <c r="A138" s="24">
        <v>2021</v>
      </c>
      <c r="B138" s="24" cm="1" t="str">
        <f t="array" aca="1" ref="B138" ca="1">INDIRECT("'Params'!A" &amp; (QUOTIENT(ROW(A138)-4, 10) + 1))</f>
        <v>DCENR</v>
      </c>
      <c r="C138" s="25">
        <f ca="1">SUMIFS(Inputs!$F$2:$F$201,Inputs!$A$2:$A$201,$A138,Inputs!$B$2:$B$201,$B138)+SUMIFS(Inputs!$D$2:$D$201,Inputs!$A$2:$A$201,$A138,Inputs!$B$2:$B$201,$B138)+SUMIFS(Inputs!$G$2:$G$201,Inputs!$A$2:$A$201,$A138,Inputs!$B$2:$B$201,$B138)*+SUMIFS(Inputs!$X$2:$X$201,Inputs!$W$2:$W$201,$A138,Inputs!$V$2:$V$201,$B138)</f>
        <v>0.0</v>
      </c>
      <c r="D138" s="26">
        <f ca="1">IFERROR(SUMIFS(Inputs!$G$2:$G$201,Inputs!$A$2:$A$201,$A138,Inputs!$B$2:$B$201,$B138)/SUMIFS(Inputs!$C$2:$C$201,Inputs!$A$2:$A$201,$A138,Inputs!$B$2:$B$201,$B138),0)</f>
        <v>0.0</v>
      </c>
      <c r="E138" s="25">
        <f ca="1">SUMIFS(Inputs!$F$2:$F$201,Inputs!$A$2:$A$201,$A138,Inputs!$B$2:$B$201,$B138)+SUMIFS(Inputs!$D$2:$D$201,Inputs!$A$2:$A$201,$A138,Inputs!$B$2:$B$201,$B138)+SUMIFS(Inputs!$H$2:$H$201,Inputs!$A$2:$A$201,$A138,Inputs!$B$2:$B$201,$B138)*+SUMIFS(Inputs!$X$2:$X$201,Inputs!$W$2:$W$201,$A138,Inputs!$V$2:$V$201,$B138)</f>
        <v>0.0</v>
      </c>
      <c r="F138" s="26">
        <f ca="1">IFERROR(SUMIFS(Inputs!$H$2:$H$201,Inputs!$A$2:$A$201,$A138,Inputs!$B$2:$B$201,$B138)/SUMIFS(Inputs!$C$2:$C$201,Inputs!$A$2:$A$201,$A138,Inputs!$B$2:$B$201,$B138),0)</f>
        <v>0.0</v>
      </c>
      <c r="G138" s="27">
        <f ca="1">D138*SUMIFS(Inputs!$R$2:$R$23,Inputs!$P$2:$P$23,$B138)/SUMIFS(Inputs!$Q$2:$Q$23,Inputs!$P$2:$P$23,$B138)</f>
        <v>0.0</v>
      </c>
      <c r="H138" s="27">
        <f ca="1">MAX(G138,$H$1)</f>
        <v>0.0</v>
      </c>
      <c r="I138" s="27">
        <f ca="1">MIN(G138,$I$1)</f>
        <v>0.0</v>
      </c>
    </row>
    <row r="139" spans="1:9" x14ac:dyDescent="0.3">
      <c r="A139" s="24">
        <v>2022</v>
      </c>
      <c r="B139" s="24" cm="1" t="str">
        <f t="array" aca="1" ref="B139" ca="1">INDIRECT("'Params'!A" &amp; (QUOTIENT(ROW(A139)-4, 10) + 1))</f>
        <v>DCENR</v>
      </c>
      <c r="C139" s="25">
        <f ca="1">SUMIFS(Inputs!$F$2:$F$201,Inputs!$A$2:$A$201,$A139,Inputs!$B$2:$B$201,$B139)+SUMIFS(Inputs!$D$2:$D$201,Inputs!$A$2:$A$201,$A139,Inputs!$B$2:$B$201,$B139)+SUMIFS(Inputs!$G$2:$G$201,Inputs!$A$2:$A$201,$A139,Inputs!$B$2:$B$201,$B139)*+SUMIFS(Inputs!$X$2:$X$201,Inputs!$W$2:$W$201,$A139,Inputs!$V$2:$V$201,$B139)</f>
        <v>0.0</v>
      </c>
      <c r="D139" s="26">
        <f ca="1">IFERROR(SUMIFS(Inputs!$G$2:$G$201,Inputs!$A$2:$A$201,$A139,Inputs!$B$2:$B$201,$B139)/SUMIFS(Inputs!$C$2:$C$201,Inputs!$A$2:$A$201,$A139,Inputs!$B$2:$B$201,$B139),0)</f>
        <v>0.0</v>
      </c>
      <c r="E139" s="25">
        <f ca="1">SUMIFS(Inputs!$F$2:$F$201,Inputs!$A$2:$A$201,$A139,Inputs!$B$2:$B$201,$B139)+SUMIFS(Inputs!$D$2:$D$201,Inputs!$A$2:$A$201,$A139,Inputs!$B$2:$B$201,$B139)+SUMIFS(Inputs!$H$2:$H$201,Inputs!$A$2:$A$201,$A139,Inputs!$B$2:$B$201,$B139)*+SUMIFS(Inputs!$X$2:$X$201,Inputs!$W$2:$W$201,$A139,Inputs!$V$2:$V$201,$B139)</f>
        <v>0.0</v>
      </c>
      <c r="F139" s="26">
        <f ca="1">IFERROR(SUMIFS(Inputs!$H$2:$H$201,Inputs!$A$2:$A$201,$A139,Inputs!$B$2:$B$201,$B139)/SUMIFS(Inputs!$C$2:$C$201,Inputs!$A$2:$A$201,$A139,Inputs!$B$2:$B$201,$B139),0)</f>
        <v>0.0</v>
      </c>
      <c r="G139" s="27">
        <f ca="1">D139*SUMIFS(Inputs!$R$2:$R$23,Inputs!$P$2:$P$23,$B139)/SUMIFS(Inputs!$Q$2:$Q$23,Inputs!$P$2:$P$23,$B139)</f>
        <v>0.0</v>
      </c>
      <c r="H139" s="27">
        <f ca="1">MAX(G139,$H$1)</f>
        <v>0.0</v>
      </c>
      <c r="I139" s="27">
        <f ca="1">MIN(G139,$I$1)</f>
        <v>0.0</v>
      </c>
    </row>
    <row r="140" spans="1:9" x14ac:dyDescent="0.3">
      <c r="A140" s="24">
        <v>2023</v>
      </c>
      <c r="B140" s="24" cm="1" t="str">
        <f t="array" aca="1" ref="B140" ca="1">INDIRECT("'Params'!A" &amp; (QUOTIENT(ROW(A140)-4, 10) + 1))</f>
        <v>DCENR</v>
      </c>
      <c r="C140" s="25">
        <f ca="1">SUMIFS(Inputs!$F$2:$F$201,Inputs!$A$2:$A$201,$A140,Inputs!$B$2:$B$201,$B140)+SUMIFS(Inputs!$D$2:$D$201,Inputs!$A$2:$A$201,$A140,Inputs!$B$2:$B$201,$B140)+SUMIFS(Inputs!$G$2:$G$201,Inputs!$A$2:$A$201,$A140,Inputs!$B$2:$B$201,$B140)*+SUMIFS(Inputs!$X$2:$X$201,Inputs!$W$2:$W$201,$A140,Inputs!$V$2:$V$201,$B140)</f>
        <v>0.0</v>
      </c>
      <c r="D140" s="26">
        <f ca="1">IFERROR(SUMIFS(Inputs!$G$2:$G$201,Inputs!$A$2:$A$201,$A140,Inputs!$B$2:$B$201,$B140)/SUMIFS(Inputs!$C$2:$C$201,Inputs!$A$2:$A$201,$A140,Inputs!$B$2:$B$201,$B140),0)</f>
        <v>0.0</v>
      </c>
      <c r="E140" s="25">
        <f ca="1">SUMIFS(Inputs!$F$2:$F$201,Inputs!$A$2:$A$201,$A140,Inputs!$B$2:$B$201,$B140)+SUMIFS(Inputs!$D$2:$D$201,Inputs!$A$2:$A$201,$A140,Inputs!$B$2:$B$201,$B140)+SUMIFS(Inputs!$H$2:$H$201,Inputs!$A$2:$A$201,$A140,Inputs!$B$2:$B$201,$B140)*+SUMIFS(Inputs!$X$2:$X$201,Inputs!$W$2:$W$201,$A140,Inputs!$V$2:$V$201,$B140)</f>
        <v>0.0</v>
      </c>
      <c r="F140" s="26">
        <f ca="1">IFERROR(SUMIFS(Inputs!$H$2:$H$201,Inputs!$A$2:$A$201,$A140,Inputs!$B$2:$B$201,$B140)/SUMIFS(Inputs!$C$2:$C$201,Inputs!$A$2:$A$201,$A140,Inputs!$B$2:$B$201,$B140),0)</f>
        <v>0.0</v>
      </c>
      <c r="G140" s="27">
        <f ca="1">D140*SUMIFS(Inputs!$R$2:$R$23,Inputs!$P$2:$P$23,$B140)/SUMIFS(Inputs!$Q$2:$Q$23,Inputs!$P$2:$P$23,$B140)</f>
        <v>0.0</v>
      </c>
      <c r="H140" s="27">
        <f ca="1">MAX(G140,$H$1)</f>
        <v>0.0</v>
      </c>
      <c r="I140" s="27">
        <f ca="1">MIN(G140,$I$1)</f>
        <v>0.0</v>
      </c>
    </row>
    <row r="141" spans="1:9" x14ac:dyDescent="0.3">
      <c r="A141" s="24">
        <v>2024</v>
      </c>
      <c r="B141" s="24" cm="1" t="str">
        <f t="array" aca="1" ref="B141" ca="1">INDIRECT("'Params'!A" &amp; (QUOTIENT(ROW(A141)-4, 10) + 1))</f>
        <v>DCENR</v>
      </c>
      <c r="C141" s="25">
        <f ca="1">SUMIFS(Inputs!$F$2:$F$201,Inputs!$A$2:$A$201,$A141,Inputs!$B$2:$B$201,$B141)+SUMIFS(Inputs!$D$2:$D$201,Inputs!$A$2:$A$201,$A141,Inputs!$B$2:$B$201,$B141)+SUMIFS(Inputs!$G$2:$G$201,Inputs!$A$2:$A$201,$A141,Inputs!$B$2:$B$201,$B141)*+SUMIFS(Inputs!$X$2:$X$201,Inputs!$W$2:$W$201,$A141,Inputs!$V$2:$V$201,$B141)</f>
        <v>0.0</v>
      </c>
      <c r="D141" s="26">
        <f ca="1">IFERROR(SUMIFS(Inputs!$G$2:$G$201,Inputs!$A$2:$A$201,$A141,Inputs!$B$2:$B$201,$B141)/SUMIFS(Inputs!$C$2:$C$201,Inputs!$A$2:$A$201,$A141,Inputs!$B$2:$B$201,$B141),0)</f>
        <v>0.0</v>
      </c>
      <c r="E141" s="25">
        <f ca="1">SUMIFS(Inputs!$F$2:$F$201,Inputs!$A$2:$A$201,$A141,Inputs!$B$2:$B$201,$B141)+SUMIFS(Inputs!$D$2:$D$201,Inputs!$A$2:$A$201,$A141,Inputs!$B$2:$B$201,$B141)+SUMIFS(Inputs!$H$2:$H$201,Inputs!$A$2:$A$201,$A141,Inputs!$B$2:$B$201,$B141)*+SUMIFS(Inputs!$X$2:$X$201,Inputs!$W$2:$W$201,$A141,Inputs!$V$2:$V$201,$B141)</f>
        <v>0.0</v>
      </c>
      <c r="F141" s="26">
        <f ca="1">IFERROR(SUMIFS(Inputs!$H$2:$H$201,Inputs!$A$2:$A$201,$A141,Inputs!$B$2:$B$201,$B141)/SUMIFS(Inputs!$C$2:$C$201,Inputs!$A$2:$A$201,$A141,Inputs!$B$2:$B$201,$B141),0)</f>
        <v>0.0</v>
      </c>
      <c r="G141" s="27">
        <f ca="1">D141*SUMIFS(Inputs!$R$2:$R$23,Inputs!$P$2:$P$23,$B141)/SUMIFS(Inputs!$Q$2:$Q$23,Inputs!$P$2:$P$23,$B141)</f>
        <v>0.0</v>
      </c>
      <c r="H141" s="27">
        <f ca="1">MAX(G141,$H$1)</f>
        <v>0.0</v>
      </c>
      <c r="I141" s="27">
        <f ca="1">MIN(G141,$I$1)</f>
        <v>0.0</v>
      </c>
    </row>
    <row r="142" spans="1:9" x14ac:dyDescent="0.3">
      <c r="A142" s="24">
        <v>2025</v>
      </c>
      <c r="B142" s="24" cm="1" t="str">
        <f t="array" aca="1" ref="B142" ca="1">INDIRECT("'Params'!A" &amp; (QUOTIENT(ROW(A142)-4, 10) + 1))</f>
        <v>DCENR</v>
      </c>
      <c r="C142" s="25">
        <f ca="1">SUMIFS(Inputs!$F$2:$F$201,Inputs!$A$2:$A$201,$A142,Inputs!$B$2:$B$201,$B142)+SUMIFS(Inputs!$D$2:$D$201,Inputs!$A$2:$A$201,$A142,Inputs!$B$2:$B$201,$B142)+SUMIFS(Inputs!$G$2:$G$201,Inputs!$A$2:$A$201,$A142,Inputs!$B$2:$B$201,$B142)*+SUMIFS(Inputs!$X$2:$X$201,Inputs!$W$2:$W$201,$A142,Inputs!$V$2:$V$201,$B142)</f>
        <v>0.0</v>
      </c>
      <c r="D142" s="26">
        <f ca="1">IFERROR(SUMIFS(Inputs!$G$2:$G$201,Inputs!$A$2:$A$201,$A142,Inputs!$B$2:$B$201,$B142)/SUMIFS(Inputs!$C$2:$C$201,Inputs!$A$2:$A$201,$A142,Inputs!$B$2:$B$201,$B142),0)</f>
        <v>0.0</v>
      </c>
      <c r="E142" s="25">
        <f ca="1">SUMIFS(Inputs!$F$2:$F$201,Inputs!$A$2:$A$201,$A142,Inputs!$B$2:$B$201,$B142)+SUMIFS(Inputs!$D$2:$D$201,Inputs!$A$2:$A$201,$A142,Inputs!$B$2:$B$201,$B142)+SUMIFS(Inputs!$H$2:$H$201,Inputs!$A$2:$A$201,$A142,Inputs!$B$2:$B$201,$B142)*+SUMIFS(Inputs!$X$2:$X$201,Inputs!$W$2:$W$201,$A142,Inputs!$V$2:$V$201,$B142)</f>
        <v>0.0</v>
      </c>
      <c r="F142" s="26">
        <f ca="1">IFERROR(SUMIFS(Inputs!$H$2:$H$201,Inputs!$A$2:$A$201,$A142,Inputs!$B$2:$B$201,$B142)/SUMIFS(Inputs!$C$2:$C$201,Inputs!$A$2:$A$201,$A142,Inputs!$B$2:$B$201,$B142),0)</f>
        <v>0.0</v>
      </c>
      <c r="G142" s="27">
        <f ca="1">D142*SUMIFS(Inputs!$R$2:$R$23,Inputs!$P$2:$P$23,$B142)/SUMIFS(Inputs!$Q$2:$Q$23,Inputs!$P$2:$P$23,$B142)</f>
        <v>0.0</v>
      </c>
      <c r="H142" s="27">
        <f ca="1">MAX(G142,$H$1)</f>
        <v>0.0</v>
      </c>
      <c r="I142" s="27">
        <f ca="1">MIN(G142,$I$1)</f>
        <v>0.0</v>
      </c>
    </row>
    <row r="143" spans="1:9" x14ac:dyDescent="0.3">
      <c r="A143" s="24">
        <v>2026</v>
      </c>
      <c r="B143" s="24" cm="1" t="str">
        <f t="array" aca="1" ref="B143" ca="1">INDIRECT("'Params'!A" &amp; (QUOTIENT(ROW(A143)-4, 10) + 1))</f>
        <v>DCENR</v>
      </c>
      <c r="C143" s="25">
        <f ca="1">SUMIFS(Inputs!$F$2:$F$201,Inputs!$A$2:$A$201,$A143,Inputs!$B$2:$B$201,$B143)+SUMIFS(Inputs!$D$2:$D$201,Inputs!$A$2:$A$201,$A143,Inputs!$B$2:$B$201,$B143)+SUMIFS(Inputs!$G$2:$G$201,Inputs!$A$2:$A$201,$A143,Inputs!$B$2:$B$201,$B143)*+SUMIFS(Inputs!$X$2:$X$201,Inputs!$W$2:$W$201,$A143,Inputs!$V$2:$V$201,$B143)</f>
        <v>0.0</v>
      </c>
      <c r="D143" s="26">
        <f ca="1">IFERROR(SUMIFS(Inputs!$G$2:$G$201,Inputs!$A$2:$A$201,$A143,Inputs!$B$2:$B$201,$B143)/SUMIFS(Inputs!$C$2:$C$201,Inputs!$A$2:$A$201,$A143,Inputs!$B$2:$B$201,$B143),0)</f>
        <v>0.0</v>
      </c>
      <c r="E143" s="25">
        <f ca="1">SUMIFS(Inputs!$F$2:$F$201,Inputs!$A$2:$A$201,$A143,Inputs!$B$2:$B$201,$B143)+SUMIFS(Inputs!$D$2:$D$201,Inputs!$A$2:$A$201,$A143,Inputs!$B$2:$B$201,$B143)+SUMIFS(Inputs!$H$2:$H$201,Inputs!$A$2:$A$201,$A143,Inputs!$B$2:$B$201,$B143)*+SUMIFS(Inputs!$X$2:$X$201,Inputs!$W$2:$W$201,$A143,Inputs!$V$2:$V$201,$B143)</f>
        <v>0.0</v>
      </c>
      <c r="F143" s="26">
        <f ca="1">IFERROR(SUMIFS(Inputs!$H$2:$H$201,Inputs!$A$2:$A$201,$A143,Inputs!$B$2:$B$201,$B143)/SUMIFS(Inputs!$C$2:$C$201,Inputs!$A$2:$A$201,$A143,Inputs!$B$2:$B$201,$B143),0)</f>
        <v>0.0</v>
      </c>
      <c r="G143" s="27">
        <f ca="1">D143*SUMIFS(Inputs!$R$2:$R$23,Inputs!$P$2:$P$23,$B143)/SUMIFS(Inputs!$Q$2:$Q$23,Inputs!$P$2:$P$23,$B143)</f>
        <v>0.0</v>
      </c>
      <c r="H143" s="27">
        <f ca="1">MAX(G143,$H$1)</f>
        <v>0.0</v>
      </c>
      <c r="I143" s="27">
        <f ca="1">MIN(G143,$I$1)</f>
        <v>0.0</v>
      </c>
    </row>
    <row r="144" spans="1:9" x14ac:dyDescent="0.3">
      <c r="A144" s="24">
        <v>2017</v>
      </c>
      <c r="B144" s="24" cm="1" t="str">
        <f t="array" aca="1" ref="B144" ca="1">INDIRECT("'Params'!A" &amp; (QUOTIENT(ROW(A144)-4, 10) + 1))</f>
        <v>DCPRO</v>
      </c>
      <c r="C144" s="25">
        <f ca="1">SUMIFS(Inputs!$F$2:$F$201,Inputs!$A$2:$A$201,$A144,Inputs!$B$2:$B$201,$B144)+SUMIFS(Inputs!$D$2:$D$201,Inputs!$A$2:$A$201,$A144,Inputs!$B$2:$B$201,$B144)+SUMIFS(Inputs!$G$2:$G$201,Inputs!$A$2:$A$201,$A144,Inputs!$B$2:$B$201,$B144)*+SUMIFS(Inputs!$X$2:$X$201,Inputs!$W$2:$W$201,$A144,Inputs!$V$2:$V$201,$B144)</f>
        <v>138092.72876050265</v>
      </c>
      <c r="D144" s="26">
        <f ca="1">IFERROR(SUMIFS(Inputs!$G$2:$G$201,Inputs!$A$2:$A$201,$A144,Inputs!$B$2:$B$201,$B144)/SUMIFS(Inputs!$C$2:$C$201,Inputs!$A$2:$A$201,$A144,Inputs!$B$2:$B$201,$B144),0)</f>
        <v>0.0</v>
      </c>
      <c r="E144" s="25">
        <f ca="1">SUMIFS(Inputs!$F$2:$F$201,Inputs!$A$2:$A$201,$A144,Inputs!$B$2:$B$201,$B144)+SUMIFS(Inputs!$D$2:$D$201,Inputs!$A$2:$A$201,$A144,Inputs!$B$2:$B$201,$B144)+SUMIFS(Inputs!$H$2:$H$201,Inputs!$A$2:$A$201,$A144,Inputs!$B$2:$B$201,$B144)*+SUMIFS(Inputs!$X$2:$X$201,Inputs!$W$2:$W$201,$A144,Inputs!$V$2:$V$201,$B144)</f>
        <v>138092.72876050265</v>
      </c>
      <c r="F144" s="26">
        <f ca="1">IFERROR(SUMIFS(Inputs!$H$2:$H$201,Inputs!$A$2:$A$201,$A144,Inputs!$B$2:$B$201,$B144)/SUMIFS(Inputs!$C$2:$C$201,Inputs!$A$2:$A$201,$A144,Inputs!$B$2:$B$201,$B144),0)</f>
        <v>0.0</v>
      </c>
      <c r="G144" s="27">
        <f ca="1">D144*SUMIFS(Inputs!$R$2:$R$23,Inputs!$P$2:$P$23,$B144)/SUMIFS(Inputs!$Q$2:$Q$23,Inputs!$P$2:$P$23,$B144)</f>
        <v>0.0</v>
      </c>
      <c r="H144" s="27">
        <f ca="1">MAX(G144,$H$1)</f>
        <v>0.0</v>
      </c>
      <c r="I144" s="27">
        <f ca="1">MIN(G144,$I$1)</f>
        <v>0.0</v>
      </c>
    </row>
    <row r="145" spans="1:9" x14ac:dyDescent="0.3">
      <c r="A145" s="24">
        <v>2018</v>
      </c>
      <c r="B145" s="24" cm="1" t="str">
        <f t="array" aca="1" ref="B145" ca="1">INDIRECT("'Params'!A" &amp; (QUOTIENT(ROW(A145)-4, 10) + 1))</f>
        <v>DCPRO</v>
      </c>
      <c r="C145" s="25">
        <f ca="1">SUMIFS(Inputs!$F$2:$F$201,Inputs!$A$2:$A$201,$A145,Inputs!$B$2:$B$201,$B145)+SUMIFS(Inputs!$D$2:$D$201,Inputs!$A$2:$A$201,$A145,Inputs!$B$2:$B$201,$B145)+SUMIFS(Inputs!$G$2:$G$201,Inputs!$A$2:$A$201,$A145,Inputs!$B$2:$B$201,$B145)*+SUMIFS(Inputs!$X$2:$X$201,Inputs!$W$2:$W$201,$A145,Inputs!$V$2:$V$201,$B145)</f>
        <v>1890001.02</v>
      </c>
      <c r="D145" s="26">
        <f ca="1">IFERROR(SUMIFS(Inputs!$G$2:$G$201,Inputs!$A$2:$A$201,$A145,Inputs!$B$2:$B$201,$B145)/SUMIFS(Inputs!$C$2:$C$201,Inputs!$A$2:$A$201,$A145,Inputs!$B$2:$B$201,$B145),0)</f>
        <v>0.0</v>
      </c>
      <c r="E145" s="25">
        <f ca="1">SUMIFS(Inputs!$F$2:$F$201,Inputs!$A$2:$A$201,$A145,Inputs!$B$2:$B$201,$B145)+SUMIFS(Inputs!$D$2:$D$201,Inputs!$A$2:$A$201,$A145,Inputs!$B$2:$B$201,$B145)+SUMIFS(Inputs!$H$2:$H$201,Inputs!$A$2:$A$201,$A145,Inputs!$B$2:$B$201,$B145)*+SUMIFS(Inputs!$X$2:$X$201,Inputs!$W$2:$W$201,$A145,Inputs!$V$2:$V$201,$B145)</f>
        <v>1890001.02</v>
      </c>
      <c r="F145" s="26">
        <f ca="1">IFERROR(SUMIFS(Inputs!$H$2:$H$201,Inputs!$A$2:$A$201,$A145,Inputs!$B$2:$B$201,$B145)/SUMIFS(Inputs!$C$2:$C$201,Inputs!$A$2:$A$201,$A145,Inputs!$B$2:$B$201,$B145),0)</f>
        <v>0.0</v>
      </c>
      <c r="G145" s="27">
        <f ca="1">D145*SUMIFS(Inputs!$R$2:$R$23,Inputs!$P$2:$P$23,$B145)/SUMIFS(Inputs!$Q$2:$Q$23,Inputs!$P$2:$P$23,$B145)</f>
        <v>0.0</v>
      </c>
      <c r="H145" s="27">
        <f ca="1">MAX(G145,$H$1)</f>
        <v>0.0</v>
      </c>
      <c r="I145" s="27">
        <f ca="1">MIN(G145,$I$1)</f>
        <v>0.0</v>
      </c>
    </row>
    <row r="146" spans="1:9" x14ac:dyDescent="0.3">
      <c r="A146" s="24">
        <v>2019</v>
      </c>
      <c r="B146" s="24" cm="1" t="str">
        <f t="array" aca="1" ref="B146" ca="1">INDIRECT("'Params'!A" &amp; (QUOTIENT(ROW(A146)-4, 10) + 1))</f>
        <v>DCPRO</v>
      </c>
      <c r="C146" s="25">
        <f ca="1">SUMIFS(Inputs!$F$2:$F$201,Inputs!$A$2:$A$201,$A146,Inputs!$B$2:$B$201,$B146)+SUMIFS(Inputs!$D$2:$D$201,Inputs!$A$2:$A$201,$A146,Inputs!$B$2:$B$201,$B146)+SUMIFS(Inputs!$G$2:$G$201,Inputs!$A$2:$A$201,$A146,Inputs!$B$2:$B$201,$B146)*+SUMIFS(Inputs!$X$2:$X$201,Inputs!$W$2:$W$201,$A146,Inputs!$V$2:$V$201,$B146)</f>
        <v>30108.58668745017</v>
      </c>
      <c r="D146" s="26">
        <f ca="1">IFERROR(SUMIFS(Inputs!$G$2:$G$201,Inputs!$A$2:$A$201,$A146,Inputs!$B$2:$B$201,$B146)/SUMIFS(Inputs!$C$2:$C$201,Inputs!$A$2:$A$201,$A146,Inputs!$B$2:$B$201,$B146),0)</f>
        <v>0.0</v>
      </c>
      <c r="E146" s="25">
        <f ca="1">SUMIFS(Inputs!$F$2:$F$201,Inputs!$A$2:$A$201,$A146,Inputs!$B$2:$B$201,$B146)+SUMIFS(Inputs!$D$2:$D$201,Inputs!$A$2:$A$201,$A146,Inputs!$B$2:$B$201,$B146)+SUMIFS(Inputs!$H$2:$H$201,Inputs!$A$2:$A$201,$A146,Inputs!$B$2:$B$201,$B146)*+SUMIFS(Inputs!$X$2:$X$201,Inputs!$W$2:$W$201,$A146,Inputs!$V$2:$V$201,$B146)</f>
        <v>30108.58668745017</v>
      </c>
      <c r="F146" s="26">
        <f ca="1">IFERROR(SUMIFS(Inputs!$H$2:$H$201,Inputs!$A$2:$A$201,$A146,Inputs!$B$2:$B$201,$B146)/SUMIFS(Inputs!$C$2:$C$201,Inputs!$A$2:$A$201,$A146,Inputs!$B$2:$B$201,$B146),0)</f>
        <v>0.0</v>
      </c>
      <c r="G146" s="27">
        <f ca="1">D146*SUMIFS(Inputs!$R$2:$R$23,Inputs!$P$2:$P$23,$B146)/SUMIFS(Inputs!$Q$2:$Q$23,Inputs!$P$2:$P$23,$B146)</f>
        <v>0.0</v>
      </c>
      <c r="H146" s="27">
        <f ca="1">MAX(G146,$H$1)</f>
        <v>0.0</v>
      </c>
      <c r="I146" s="27">
        <f ca="1">MIN(G146,$I$1)</f>
        <v>0.0</v>
      </c>
    </row>
    <row r="147" spans="1:9" x14ac:dyDescent="0.3">
      <c r="A147" s="24">
        <v>2020</v>
      </c>
      <c r="B147" s="24" cm="1" t="str">
        <f t="array" aca="1" ref="B147" ca="1">INDIRECT("'Params'!A" &amp; (QUOTIENT(ROW(A147)-4, 10) + 1))</f>
        <v>DCPRO</v>
      </c>
      <c r="C147" s="25">
        <f ca="1">SUMIFS(Inputs!$F$2:$F$201,Inputs!$A$2:$A$201,$A147,Inputs!$B$2:$B$201,$B147)+SUMIFS(Inputs!$D$2:$D$201,Inputs!$A$2:$A$201,$A147,Inputs!$B$2:$B$201,$B147)+SUMIFS(Inputs!$G$2:$G$201,Inputs!$A$2:$A$201,$A147,Inputs!$B$2:$B$201,$B147)*+SUMIFS(Inputs!$X$2:$X$201,Inputs!$W$2:$W$201,$A147,Inputs!$V$2:$V$201,$B147)</f>
        <v>0.0</v>
      </c>
      <c r="D147" s="26">
        <f ca="1">IFERROR(SUMIFS(Inputs!$G$2:$G$201,Inputs!$A$2:$A$201,$A147,Inputs!$B$2:$B$201,$B147)/SUMIFS(Inputs!$C$2:$C$201,Inputs!$A$2:$A$201,$A147,Inputs!$B$2:$B$201,$B147),0)</f>
        <v>0.0</v>
      </c>
      <c r="E147" s="25">
        <f ca="1">SUMIFS(Inputs!$F$2:$F$201,Inputs!$A$2:$A$201,$A147,Inputs!$B$2:$B$201,$B147)+SUMIFS(Inputs!$D$2:$D$201,Inputs!$A$2:$A$201,$A147,Inputs!$B$2:$B$201,$B147)+SUMIFS(Inputs!$H$2:$H$201,Inputs!$A$2:$A$201,$A147,Inputs!$B$2:$B$201,$B147)*+SUMIFS(Inputs!$X$2:$X$201,Inputs!$W$2:$W$201,$A147,Inputs!$V$2:$V$201,$B147)</f>
        <v>0.0</v>
      </c>
      <c r="F147" s="26">
        <f ca="1">IFERROR(SUMIFS(Inputs!$H$2:$H$201,Inputs!$A$2:$A$201,$A147,Inputs!$B$2:$B$201,$B147)/SUMIFS(Inputs!$C$2:$C$201,Inputs!$A$2:$A$201,$A147,Inputs!$B$2:$B$201,$B147),0)</f>
        <v>0.0</v>
      </c>
      <c r="G147" s="27">
        <f ca="1">D147*SUMIFS(Inputs!$R$2:$R$23,Inputs!$P$2:$P$23,$B147)/SUMIFS(Inputs!$Q$2:$Q$23,Inputs!$P$2:$P$23,$B147)</f>
        <v>0.0</v>
      </c>
      <c r="H147" s="27">
        <f ca="1">MAX(G147,$H$1)</f>
        <v>0.0</v>
      </c>
      <c r="I147" s="27">
        <f ca="1">MIN(G147,$I$1)</f>
        <v>0.0</v>
      </c>
    </row>
    <row r="148" spans="1:9" x14ac:dyDescent="0.3">
      <c r="A148" s="24">
        <v>2021</v>
      </c>
      <c r="B148" s="24" cm="1" t="str">
        <f t="array" aca="1" ref="B148" ca="1">INDIRECT("'Params'!A" &amp; (QUOTIENT(ROW(A148)-4, 10) + 1))</f>
        <v>DCPRO</v>
      </c>
      <c r="C148" s="25">
        <f ca="1">SUMIFS(Inputs!$F$2:$F$201,Inputs!$A$2:$A$201,$A148,Inputs!$B$2:$B$201,$B148)+SUMIFS(Inputs!$D$2:$D$201,Inputs!$A$2:$A$201,$A148,Inputs!$B$2:$B$201,$B148)+SUMIFS(Inputs!$G$2:$G$201,Inputs!$A$2:$A$201,$A148,Inputs!$B$2:$B$201,$B148)*+SUMIFS(Inputs!$X$2:$X$201,Inputs!$W$2:$W$201,$A148,Inputs!$V$2:$V$201,$B148)</f>
        <v>0.0</v>
      </c>
      <c r="D148" s="26">
        <f ca="1">IFERROR(SUMIFS(Inputs!$G$2:$G$201,Inputs!$A$2:$A$201,$A148,Inputs!$B$2:$B$201,$B148)/SUMIFS(Inputs!$C$2:$C$201,Inputs!$A$2:$A$201,$A148,Inputs!$B$2:$B$201,$B148),0)</f>
        <v>0.0</v>
      </c>
      <c r="E148" s="25">
        <f ca="1">SUMIFS(Inputs!$F$2:$F$201,Inputs!$A$2:$A$201,$A148,Inputs!$B$2:$B$201,$B148)+SUMIFS(Inputs!$D$2:$D$201,Inputs!$A$2:$A$201,$A148,Inputs!$B$2:$B$201,$B148)+SUMIFS(Inputs!$H$2:$H$201,Inputs!$A$2:$A$201,$A148,Inputs!$B$2:$B$201,$B148)*+SUMIFS(Inputs!$X$2:$X$201,Inputs!$W$2:$W$201,$A148,Inputs!$V$2:$V$201,$B148)</f>
        <v>0.0</v>
      </c>
      <c r="F148" s="26">
        <f ca="1">IFERROR(SUMIFS(Inputs!$H$2:$H$201,Inputs!$A$2:$A$201,$A148,Inputs!$B$2:$B$201,$B148)/SUMIFS(Inputs!$C$2:$C$201,Inputs!$A$2:$A$201,$A148,Inputs!$B$2:$B$201,$B148),0)</f>
        <v>0.0</v>
      </c>
      <c r="G148" s="27">
        <f ca="1">D148*SUMIFS(Inputs!$R$2:$R$23,Inputs!$P$2:$P$23,$B148)/SUMIFS(Inputs!$Q$2:$Q$23,Inputs!$P$2:$P$23,$B148)</f>
        <v>0.0</v>
      </c>
      <c r="H148" s="27">
        <f ca="1">MAX(G148,$H$1)</f>
        <v>0.0</v>
      </c>
      <c r="I148" s="27">
        <f ca="1">MIN(G148,$I$1)</f>
        <v>0.0</v>
      </c>
    </row>
    <row r="149" spans="1:9" x14ac:dyDescent="0.3">
      <c r="A149" s="24">
        <v>2022</v>
      </c>
      <c r="B149" s="24" cm="1" t="str">
        <f t="array" aca="1" ref="B149" ca="1">INDIRECT("'Params'!A" &amp; (QUOTIENT(ROW(A149)-4, 10) + 1))</f>
        <v>DCPRO</v>
      </c>
      <c r="C149" s="25">
        <f ca="1">SUMIFS(Inputs!$F$2:$F$201,Inputs!$A$2:$A$201,$A149,Inputs!$B$2:$B$201,$B149)+SUMIFS(Inputs!$D$2:$D$201,Inputs!$A$2:$A$201,$A149,Inputs!$B$2:$B$201,$B149)+SUMIFS(Inputs!$G$2:$G$201,Inputs!$A$2:$A$201,$A149,Inputs!$B$2:$B$201,$B149)*+SUMIFS(Inputs!$X$2:$X$201,Inputs!$W$2:$W$201,$A149,Inputs!$V$2:$V$201,$B149)</f>
        <v>0.0</v>
      </c>
      <c r="D149" s="26">
        <f ca="1">IFERROR(SUMIFS(Inputs!$G$2:$G$201,Inputs!$A$2:$A$201,$A149,Inputs!$B$2:$B$201,$B149)/SUMIFS(Inputs!$C$2:$C$201,Inputs!$A$2:$A$201,$A149,Inputs!$B$2:$B$201,$B149),0)</f>
        <v>0.0</v>
      </c>
      <c r="E149" s="25">
        <f ca="1">SUMIFS(Inputs!$F$2:$F$201,Inputs!$A$2:$A$201,$A149,Inputs!$B$2:$B$201,$B149)+SUMIFS(Inputs!$D$2:$D$201,Inputs!$A$2:$A$201,$A149,Inputs!$B$2:$B$201,$B149)+SUMIFS(Inputs!$H$2:$H$201,Inputs!$A$2:$A$201,$A149,Inputs!$B$2:$B$201,$B149)*+SUMIFS(Inputs!$X$2:$X$201,Inputs!$W$2:$W$201,$A149,Inputs!$V$2:$V$201,$B149)</f>
        <v>0.0</v>
      </c>
      <c r="F149" s="26">
        <f ca="1">IFERROR(SUMIFS(Inputs!$H$2:$H$201,Inputs!$A$2:$A$201,$A149,Inputs!$B$2:$B$201,$B149)/SUMIFS(Inputs!$C$2:$C$201,Inputs!$A$2:$A$201,$A149,Inputs!$B$2:$B$201,$B149),0)</f>
        <v>0.0</v>
      </c>
      <c r="G149" s="27">
        <f ca="1">D149*SUMIFS(Inputs!$R$2:$R$23,Inputs!$P$2:$P$23,$B149)/SUMIFS(Inputs!$Q$2:$Q$23,Inputs!$P$2:$P$23,$B149)</f>
        <v>0.0</v>
      </c>
      <c r="H149" s="27">
        <f ca="1">MAX(G149,$H$1)</f>
        <v>0.0</v>
      </c>
      <c r="I149" s="27">
        <f ca="1">MIN(G149,$I$1)</f>
        <v>0.0</v>
      </c>
    </row>
    <row r="150" spans="1:9" x14ac:dyDescent="0.3">
      <c r="A150" s="24">
        <v>2023</v>
      </c>
      <c r="B150" s="24" cm="1" t="str">
        <f t="array" aca="1" ref="B150" ca="1">INDIRECT("'Params'!A" &amp; (QUOTIENT(ROW(A150)-4, 10) + 1))</f>
        <v>DCPRO</v>
      </c>
      <c r="C150" s="25">
        <f ca="1">SUMIFS(Inputs!$F$2:$F$201,Inputs!$A$2:$A$201,$A150,Inputs!$B$2:$B$201,$B150)+SUMIFS(Inputs!$D$2:$D$201,Inputs!$A$2:$A$201,$A150,Inputs!$B$2:$B$201,$B150)+SUMIFS(Inputs!$G$2:$G$201,Inputs!$A$2:$A$201,$A150,Inputs!$B$2:$B$201,$B150)*+SUMIFS(Inputs!$X$2:$X$201,Inputs!$W$2:$W$201,$A150,Inputs!$V$2:$V$201,$B150)</f>
        <v>0.0</v>
      </c>
      <c r="D150" s="26">
        <f ca="1">IFERROR(SUMIFS(Inputs!$G$2:$G$201,Inputs!$A$2:$A$201,$A150,Inputs!$B$2:$B$201,$B150)/SUMIFS(Inputs!$C$2:$C$201,Inputs!$A$2:$A$201,$A150,Inputs!$B$2:$B$201,$B150),0)</f>
        <v>0.0</v>
      </c>
      <c r="E150" s="25">
        <f ca="1">SUMIFS(Inputs!$F$2:$F$201,Inputs!$A$2:$A$201,$A150,Inputs!$B$2:$B$201,$B150)+SUMIFS(Inputs!$D$2:$D$201,Inputs!$A$2:$A$201,$A150,Inputs!$B$2:$B$201,$B150)+SUMIFS(Inputs!$H$2:$H$201,Inputs!$A$2:$A$201,$A150,Inputs!$B$2:$B$201,$B150)*+SUMIFS(Inputs!$X$2:$X$201,Inputs!$W$2:$W$201,$A150,Inputs!$V$2:$V$201,$B150)</f>
        <v>0.0</v>
      </c>
      <c r="F150" s="26">
        <f ca="1">IFERROR(SUMIFS(Inputs!$H$2:$H$201,Inputs!$A$2:$A$201,$A150,Inputs!$B$2:$B$201,$B150)/SUMIFS(Inputs!$C$2:$C$201,Inputs!$A$2:$A$201,$A150,Inputs!$B$2:$B$201,$B150),0)</f>
        <v>0.0</v>
      </c>
      <c r="G150" s="27">
        <f ca="1">D150*SUMIFS(Inputs!$R$2:$R$23,Inputs!$P$2:$P$23,$B150)/SUMIFS(Inputs!$Q$2:$Q$23,Inputs!$P$2:$P$23,$B150)</f>
        <v>0.0</v>
      </c>
      <c r="H150" s="27">
        <f ca="1">MAX(G150,$H$1)</f>
        <v>0.0</v>
      </c>
      <c r="I150" s="27">
        <f ca="1">MIN(G150,$I$1)</f>
        <v>0.0</v>
      </c>
    </row>
    <row r="151" spans="1:9" x14ac:dyDescent="0.3">
      <c r="A151" s="24">
        <v>2024</v>
      </c>
      <c r="B151" s="24" cm="1" t="str">
        <f t="array" aca="1" ref="B151" ca="1">INDIRECT("'Params'!A" &amp; (QUOTIENT(ROW(A151)-4, 10) + 1))</f>
        <v>DCPRO</v>
      </c>
      <c r="C151" s="25">
        <f ca="1">SUMIFS(Inputs!$F$2:$F$201,Inputs!$A$2:$A$201,$A151,Inputs!$B$2:$B$201,$B151)+SUMIFS(Inputs!$D$2:$D$201,Inputs!$A$2:$A$201,$A151,Inputs!$B$2:$B$201,$B151)+SUMIFS(Inputs!$G$2:$G$201,Inputs!$A$2:$A$201,$A151,Inputs!$B$2:$B$201,$B151)*+SUMIFS(Inputs!$X$2:$X$201,Inputs!$W$2:$W$201,$A151,Inputs!$V$2:$V$201,$B151)</f>
        <v>0.0</v>
      </c>
      <c r="D151" s="26">
        <f ca="1">IFERROR(SUMIFS(Inputs!$G$2:$G$201,Inputs!$A$2:$A$201,$A151,Inputs!$B$2:$B$201,$B151)/SUMIFS(Inputs!$C$2:$C$201,Inputs!$A$2:$A$201,$A151,Inputs!$B$2:$B$201,$B151),0)</f>
        <v>0.0</v>
      </c>
      <c r="E151" s="25">
        <f ca="1">SUMIFS(Inputs!$F$2:$F$201,Inputs!$A$2:$A$201,$A151,Inputs!$B$2:$B$201,$B151)+SUMIFS(Inputs!$D$2:$D$201,Inputs!$A$2:$A$201,$A151,Inputs!$B$2:$B$201,$B151)+SUMIFS(Inputs!$H$2:$H$201,Inputs!$A$2:$A$201,$A151,Inputs!$B$2:$B$201,$B151)*+SUMIFS(Inputs!$X$2:$X$201,Inputs!$W$2:$W$201,$A151,Inputs!$V$2:$V$201,$B151)</f>
        <v>0.0</v>
      </c>
      <c r="F151" s="26">
        <f ca="1">IFERROR(SUMIFS(Inputs!$H$2:$H$201,Inputs!$A$2:$A$201,$A151,Inputs!$B$2:$B$201,$B151)/SUMIFS(Inputs!$C$2:$C$201,Inputs!$A$2:$A$201,$A151,Inputs!$B$2:$B$201,$B151),0)</f>
        <v>0.0</v>
      </c>
      <c r="G151" s="27">
        <f ca="1">D151*SUMIFS(Inputs!$R$2:$R$23,Inputs!$P$2:$P$23,$B151)/SUMIFS(Inputs!$Q$2:$Q$23,Inputs!$P$2:$P$23,$B151)</f>
        <v>0.0</v>
      </c>
      <c r="H151" s="27">
        <f ca="1">MAX(G151,$H$1)</f>
        <v>0.0</v>
      </c>
      <c r="I151" s="27">
        <f ca="1">MIN(G151,$I$1)</f>
        <v>0.0</v>
      </c>
    </row>
    <row r="152" spans="1:9" x14ac:dyDescent="0.3">
      <c r="A152" s="24">
        <v>2025</v>
      </c>
      <c r="B152" s="24" cm="1" t="str">
        <f t="array" aca="1" ref="B152" ca="1">INDIRECT("'Params'!A" &amp; (QUOTIENT(ROW(A152)-4, 10) + 1))</f>
        <v>DCPRO</v>
      </c>
      <c r="C152" s="25">
        <f ca="1">SUMIFS(Inputs!$F$2:$F$201,Inputs!$A$2:$A$201,$A152,Inputs!$B$2:$B$201,$B152)+SUMIFS(Inputs!$D$2:$D$201,Inputs!$A$2:$A$201,$A152,Inputs!$B$2:$B$201,$B152)+SUMIFS(Inputs!$G$2:$G$201,Inputs!$A$2:$A$201,$A152,Inputs!$B$2:$B$201,$B152)*+SUMIFS(Inputs!$X$2:$X$201,Inputs!$W$2:$W$201,$A152,Inputs!$V$2:$V$201,$B152)</f>
        <v>0.0</v>
      </c>
      <c r="D152" s="26">
        <f ca="1">IFERROR(SUMIFS(Inputs!$G$2:$G$201,Inputs!$A$2:$A$201,$A152,Inputs!$B$2:$B$201,$B152)/SUMIFS(Inputs!$C$2:$C$201,Inputs!$A$2:$A$201,$A152,Inputs!$B$2:$B$201,$B152),0)</f>
        <v>0.0</v>
      </c>
      <c r="E152" s="25">
        <f ca="1">SUMIFS(Inputs!$F$2:$F$201,Inputs!$A$2:$A$201,$A152,Inputs!$B$2:$B$201,$B152)+SUMIFS(Inputs!$D$2:$D$201,Inputs!$A$2:$A$201,$A152,Inputs!$B$2:$B$201,$B152)+SUMIFS(Inputs!$H$2:$H$201,Inputs!$A$2:$A$201,$A152,Inputs!$B$2:$B$201,$B152)*+SUMIFS(Inputs!$X$2:$X$201,Inputs!$W$2:$W$201,$A152,Inputs!$V$2:$V$201,$B152)</f>
        <v>0.0</v>
      </c>
      <c r="F152" s="26">
        <f ca="1">IFERROR(SUMIFS(Inputs!$H$2:$H$201,Inputs!$A$2:$A$201,$A152,Inputs!$B$2:$B$201,$B152)/SUMIFS(Inputs!$C$2:$C$201,Inputs!$A$2:$A$201,$A152,Inputs!$B$2:$B$201,$B152),0)</f>
        <v>0.0</v>
      </c>
      <c r="G152" s="27">
        <f ca="1">D152*SUMIFS(Inputs!$R$2:$R$23,Inputs!$P$2:$P$23,$B152)/SUMIFS(Inputs!$Q$2:$Q$23,Inputs!$P$2:$P$23,$B152)</f>
        <v>0.0</v>
      </c>
      <c r="H152" s="27">
        <f ca="1">MAX(G152,$H$1)</f>
        <v>0.0</v>
      </c>
      <c r="I152" s="27">
        <f ca="1">MIN(G152,$I$1)</f>
        <v>0.0</v>
      </c>
    </row>
    <row r="153" spans="1:9" x14ac:dyDescent="0.3">
      <c r="A153" s="24">
        <v>2026</v>
      </c>
      <c r="B153" s="24" cm="1" t="str">
        <f t="array" aca="1" ref="B153" ca="1">INDIRECT("'Params'!A" &amp; (QUOTIENT(ROW(A153)-4, 10) + 1))</f>
        <v>DCPRO</v>
      </c>
      <c r="C153" s="25">
        <f ca="1">SUMIFS(Inputs!$F$2:$F$201,Inputs!$A$2:$A$201,$A153,Inputs!$B$2:$B$201,$B153)+SUMIFS(Inputs!$D$2:$D$201,Inputs!$A$2:$A$201,$A153,Inputs!$B$2:$B$201,$B153)+SUMIFS(Inputs!$G$2:$G$201,Inputs!$A$2:$A$201,$A153,Inputs!$B$2:$B$201,$B153)*+SUMIFS(Inputs!$X$2:$X$201,Inputs!$W$2:$W$201,$A153,Inputs!$V$2:$V$201,$B153)</f>
        <v>0.0</v>
      </c>
      <c r="D153" s="26">
        <f ca="1">IFERROR(SUMIFS(Inputs!$G$2:$G$201,Inputs!$A$2:$A$201,$A153,Inputs!$B$2:$B$201,$B153)/SUMIFS(Inputs!$C$2:$C$201,Inputs!$A$2:$A$201,$A153,Inputs!$B$2:$B$201,$B153),0)</f>
        <v>0.0</v>
      </c>
      <c r="E153" s="25">
        <f ca="1">SUMIFS(Inputs!$F$2:$F$201,Inputs!$A$2:$A$201,$A153,Inputs!$B$2:$B$201,$B153)+SUMIFS(Inputs!$D$2:$D$201,Inputs!$A$2:$A$201,$A153,Inputs!$B$2:$B$201,$B153)+SUMIFS(Inputs!$H$2:$H$201,Inputs!$A$2:$A$201,$A153,Inputs!$B$2:$B$201,$B153)*+SUMIFS(Inputs!$X$2:$X$201,Inputs!$W$2:$W$201,$A153,Inputs!$V$2:$V$201,$B153)</f>
        <v>0.0</v>
      </c>
      <c r="F153" s="26">
        <f ca="1">IFERROR(SUMIFS(Inputs!$H$2:$H$201,Inputs!$A$2:$A$201,$A153,Inputs!$B$2:$B$201,$B153)/SUMIFS(Inputs!$C$2:$C$201,Inputs!$A$2:$A$201,$A153,Inputs!$B$2:$B$201,$B153),0)</f>
        <v>0.0</v>
      </c>
      <c r="G153" s="27">
        <f ca="1">D153*SUMIFS(Inputs!$R$2:$R$23,Inputs!$P$2:$P$23,$B153)/SUMIFS(Inputs!$Q$2:$Q$23,Inputs!$P$2:$P$23,$B153)</f>
        <v>0.0</v>
      </c>
      <c r="H153" s="27">
        <f ca="1">MAX(G153,$H$1)</f>
        <v>0.0</v>
      </c>
      <c r="I153" s="27">
        <f ca="1">MIN(G153,$I$1)</f>
        <v>0.0</v>
      </c>
    </row>
    <row r="154" spans="1:9" x14ac:dyDescent="0.3">
      <c r="A154" s="24">
        <v>2017</v>
      </c>
      <c r="B154" s="24" cm="1" t="str">
        <f t="array" aca="1" ref="B154" ca="1">INDIRECT("'Params'!A" &amp; (QUOTIENT(ROW(A154)-4, 10) + 1))</f>
        <v>DCBON</v>
      </c>
      <c r="C154" s="25">
        <f ca="1">SUMIFS(Inputs!$F$2:$F$201,Inputs!$A$2:$A$201,$A154,Inputs!$B$2:$B$201,$B154)+SUMIFS(Inputs!$D$2:$D$201,Inputs!$A$2:$A$201,$A154,Inputs!$B$2:$B$201,$B154)+SUMIFS(Inputs!$G$2:$G$201,Inputs!$A$2:$A$201,$A154,Inputs!$B$2:$B$201,$B154)*+SUMIFS(Inputs!$X$2:$X$201,Inputs!$W$2:$W$201,$A154,Inputs!$V$2:$V$201,$B154)</f>
        <v>3576481.3492356944</v>
      </c>
      <c r="D154" s="26">
        <f ca="1">IFERROR(SUMIFS(Inputs!$G$2:$G$201,Inputs!$A$2:$A$201,$A154,Inputs!$B$2:$B$201,$B154)/SUMIFS(Inputs!$C$2:$C$201,Inputs!$A$2:$A$201,$A154,Inputs!$B$2:$B$201,$B154),0)</f>
        <v>0.00878986879801979</v>
      </c>
      <c r="E154" s="25">
        <f ca="1">SUMIFS(Inputs!$F$2:$F$201,Inputs!$A$2:$A$201,$A154,Inputs!$B$2:$B$201,$B154)+SUMIFS(Inputs!$D$2:$D$201,Inputs!$A$2:$A$201,$A154,Inputs!$B$2:$B$201,$B154)+SUMIFS(Inputs!$H$2:$H$201,Inputs!$A$2:$A$201,$A154,Inputs!$B$2:$B$201,$B154)*+SUMIFS(Inputs!$X$2:$X$201,Inputs!$W$2:$W$201,$A154,Inputs!$V$2:$V$201,$B154)</f>
        <v>3587629.4194696085</v>
      </c>
      <c r="F154" s="26">
        <f ca="1">IFERROR(SUMIFS(Inputs!$H$2:$H$201,Inputs!$A$2:$A$201,$A154,Inputs!$B$2:$B$201,$B154)/SUMIFS(Inputs!$C$2:$C$201,Inputs!$A$2:$A$201,$A154,Inputs!$B$2:$B$201,$B154),0)</f>
        <v>0.010972903789571687</v>
      </c>
      <c r="G154" s="27">
        <f ca="1">D154*SUMIFS(Inputs!$R$2:$R$23,Inputs!$P$2:$P$23,$B154)/SUMIFS(Inputs!$Q$2:$Q$23,Inputs!$P$2:$P$23,$B154)</f>
        <v>0.0164049751775845</v>
      </c>
      <c r="H154" s="27">
        <f ca="1">MAX(G154,$H$1)</f>
        <v>0.0164049751775845</v>
      </c>
      <c r="I154" s="27">
        <f ca="1">MIN(G154,$I$1)</f>
        <v>0.0164049751775845</v>
      </c>
    </row>
    <row r="155" spans="1:9" x14ac:dyDescent="0.3">
      <c r="A155" s="24">
        <v>2018</v>
      </c>
      <c r="B155" s="24" cm="1" t="str">
        <f t="array" aca="1" ref="B155" ca="1">INDIRECT("'Params'!A" &amp; (QUOTIENT(ROW(A155)-4, 10) + 1))</f>
        <v>DCBON</v>
      </c>
      <c r="C155" s="25">
        <f ca="1">SUMIFS(Inputs!$F$2:$F$201,Inputs!$A$2:$A$201,$A155,Inputs!$B$2:$B$201,$B155)+SUMIFS(Inputs!$D$2:$D$201,Inputs!$A$2:$A$201,$A155,Inputs!$B$2:$B$201,$B155)+SUMIFS(Inputs!$G$2:$G$201,Inputs!$A$2:$A$201,$A155,Inputs!$B$2:$B$201,$B155)*+SUMIFS(Inputs!$X$2:$X$201,Inputs!$W$2:$W$201,$A155,Inputs!$V$2:$V$201,$B155)</f>
        <v>17102.53612400009</v>
      </c>
      <c r="D155" s="26">
        <f ca="1">IFERROR(SUMIFS(Inputs!$G$2:$G$201,Inputs!$A$2:$A$201,$A155,Inputs!$B$2:$B$201,$B155)/SUMIFS(Inputs!$C$2:$C$201,Inputs!$A$2:$A$201,$A155,Inputs!$B$2:$B$201,$B155),0)</f>
        <v>0.0034382626795199525</v>
      </c>
      <c r="E155" s="25">
        <f ca="1">SUMIFS(Inputs!$F$2:$F$201,Inputs!$A$2:$A$201,$A155,Inputs!$B$2:$B$201,$B155)+SUMIFS(Inputs!$D$2:$D$201,Inputs!$A$2:$A$201,$A155,Inputs!$B$2:$B$201,$B155)+SUMIFS(Inputs!$H$2:$H$201,Inputs!$A$2:$A$201,$A155,Inputs!$B$2:$B$201,$B155)*+SUMIFS(Inputs!$X$2:$X$201,Inputs!$W$2:$W$201,$A155,Inputs!$V$2:$V$201,$B155)</f>
        <v>21207.339021708452</v>
      </c>
      <c r="F155" s="26">
        <f ca="1">IFERROR(SUMIFS(Inputs!$H$2:$H$201,Inputs!$A$2:$A$201,$A155,Inputs!$B$2:$B$201,$B155)/SUMIFS(Inputs!$C$2:$C$201,Inputs!$A$2:$A$201,$A155,Inputs!$B$2:$B$201,$B155),0)</f>
        <v>0.004292183018038542</v>
      </c>
      <c r="G155" s="27">
        <f ca="1">D155*SUMIFS(Inputs!$R$2:$R$23,Inputs!$P$2:$P$23,$B155)/SUMIFS(Inputs!$Q$2:$Q$23,Inputs!$P$2:$P$23,$B155)</f>
        <v>0.006417002939139093</v>
      </c>
      <c r="H155" s="27">
        <f ca="1">MAX(G155,$H$1)</f>
        <v>0.006417002939139093</v>
      </c>
      <c r="I155" s="27">
        <f ca="1">MIN(G155,$I$1)</f>
        <v>0.006417002939139093</v>
      </c>
    </row>
    <row r="156" spans="1:9" x14ac:dyDescent="0.3">
      <c r="A156" s="24">
        <v>2019</v>
      </c>
      <c r="B156" s="24" cm="1" t="str">
        <f t="array" aca="1" ref="B156" ca="1">INDIRECT("'Params'!A" &amp; (QUOTIENT(ROW(A156)-4, 10) + 1))</f>
        <v>DCBON</v>
      </c>
      <c r="C156" s="25">
        <f ca="1">SUMIFS(Inputs!$F$2:$F$201,Inputs!$A$2:$A$201,$A156,Inputs!$B$2:$B$201,$B156)+SUMIFS(Inputs!$D$2:$D$201,Inputs!$A$2:$A$201,$A156,Inputs!$B$2:$B$201,$B156)+SUMIFS(Inputs!$G$2:$G$201,Inputs!$A$2:$A$201,$A156,Inputs!$B$2:$B$201,$B156)*+SUMIFS(Inputs!$X$2:$X$201,Inputs!$W$2:$W$201,$A156,Inputs!$V$2:$V$201,$B156)</f>
        <v>602006.6941358487</v>
      </c>
      <c r="D156" s="26">
        <f ca="1">IFERROR(SUMIFS(Inputs!$G$2:$G$201,Inputs!$A$2:$A$201,$A156,Inputs!$B$2:$B$201,$B156)/SUMIFS(Inputs!$C$2:$C$201,Inputs!$A$2:$A$201,$A156,Inputs!$B$2:$B$201,$B156),0)</f>
        <v>0.05559250345567963</v>
      </c>
      <c r="E156" s="25">
        <f ca="1">SUMIFS(Inputs!$F$2:$F$201,Inputs!$A$2:$A$201,$A156,Inputs!$B$2:$B$201,$B156)+SUMIFS(Inputs!$D$2:$D$201,Inputs!$A$2:$A$201,$A156,Inputs!$B$2:$B$201,$B156)+SUMIFS(Inputs!$H$2:$H$201,Inputs!$A$2:$A$201,$A156,Inputs!$B$2:$B$201,$B156)*+SUMIFS(Inputs!$X$2:$X$201,Inputs!$W$2:$W$201,$A156,Inputs!$V$2:$V$201,$B156)</f>
        <v>751519.9244975015</v>
      </c>
      <c r="F156" s="26">
        <f ca="1">IFERROR(SUMIFS(Inputs!$H$2:$H$201,Inputs!$A$2:$A$201,$A156,Inputs!$B$2:$B$201,$B156)/SUMIFS(Inputs!$C$2:$C$201,Inputs!$A$2:$A$201,$A156,Inputs!$B$2:$B$201,$B156),0)</f>
        <v>0.06939935121421031</v>
      </c>
      <c r="G156" s="27">
        <f ca="1">D156*SUMIFS(Inputs!$R$2:$R$23,Inputs!$P$2:$P$23,$B156)/SUMIFS(Inputs!$Q$2:$Q$23,Inputs!$P$2:$P$23,$B156)</f>
        <v>0.10375509125411084</v>
      </c>
      <c r="H156" s="27">
        <f ca="1">MAX(G156,$H$1)</f>
        <v>0.10375509125411084</v>
      </c>
      <c r="I156" s="27">
        <f ca="1">MIN(G156,$I$1)</f>
        <v>0.10375509125411084</v>
      </c>
    </row>
    <row r="157" spans="1:9" x14ac:dyDescent="0.3">
      <c r="A157" s="24">
        <v>2020</v>
      </c>
      <c r="B157" s="24" cm="1" t="str">
        <f t="array" aca="1" ref="B157" ca="1">INDIRECT("'Params'!A" &amp; (QUOTIENT(ROW(A157)-4, 10) + 1))</f>
        <v>DCBON</v>
      </c>
      <c r="C157" s="25">
        <f ca="1">SUMIFS(Inputs!$F$2:$F$201,Inputs!$A$2:$A$201,$A157,Inputs!$B$2:$B$201,$B157)+SUMIFS(Inputs!$D$2:$D$201,Inputs!$A$2:$A$201,$A157,Inputs!$B$2:$B$201,$B157)+SUMIFS(Inputs!$G$2:$G$201,Inputs!$A$2:$A$201,$A157,Inputs!$B$2:$B$201,$B157)*+SUMIFS(Inputs!$X$2:$X$201,Inputs!$W$2:$W$201,$A157,Inputs!$V$2:$V$201,$B157)</f>
        <v>360867.19500601816</v>
      </c>
      <c r="D157" s="26">
        <f ca="1">IFERROR(SUMIFS(Inputs!$G$2:$G$201,Inputs!$A$2:$A$201,$A157,Inputs!$B$2:$B$201,$B157)/SUMIFS(Inputs!$C$2:$C$201,Inputs!$A$2:$A$201,$A157,Inputs!$B$2:$B$201,$B157),0)</f>
        <v>0.06359370183996005</v>
      </c>
      <c r="E157" s="25">
        <f ca="1">SUMIFS(Inputs!$F$2:$F$201,Inputs!$A$2:$A$201,$A157,Inputs!$B$2:$B$201,$B157)+SUMIFS(Inputs!$D$2:$D$201,Inputs!$A$2:$A$201,$A157,Inputs!$B$2:$B$201,$B157)+SUMIFS(Inputs!$H$2:$H$201,Inputs!$A$2:$A$201,$A157,Inputs!$B$2:$B$201,$B157)*+SUMIFS(Inputs!$X$2:$X$201,Inputs!$W$2:$W$201,$A157,Inputs!$V$2:$V$201,$B157)</f>
        <v>450491.48088600696</v>
      </c>
      <c r="F157" s="26">
        <f ca="1">IFERROR(SUMIFS(Inputs!$H$2:$H$201,Inputs!$A$2:$A$201,$A157,Inputs!$B$2:$B$201,$B157)/SUMIFS(Inputs!$C$2:$C$201,Inputs!$A$2:$A$201,$A157,Inputs!$B$2:$B$201,$B157),0)</f>
        <v>0.07938771191554006</v>
      </c>
      <c r="G157" s="27">
        <f ca="1">D157*SUMIFS(Inputs!$R$2:$R$23,Inputs!$P$2:$P$23,$B157)/SUMIFS(Inputs!$Q$2:$Q$23,Inputs!$P$2:$P$23,$B157)</f>
        <v>0.11868813108681234</v>
      </c>
      <c r="H157" s="27">
        <f ca="1">MAX(G157,$H$1)</f>
        <v>0.11868813108681234</v>
      </c>
      <c r="I157" s="27">
        <f ca="1">MIN(G157,$I$1)</f>
        <v>0.11868813108681234</v>
      </c>
    </row>
    <row r="158" spans="1:9" x14ac:dyDescent="0.3">
      <c r="A158" s="24">
        <v>2021</v>
      </c>
      <c r="B158" s="24" cm="1" t="str">
        <f t="array" aca="1" ref="B158" ca="1">INDIRECT("'Params'!A" &amp; (QUOTIENT(ROW(A158)-4, 10) + 1))</f>
        <v>DCBON</v>
      </c>
      <c r="C158" s="25">
        <f ca="1">SUMIFS(Inputs!$F$2:$F$201,Inputs!$A$2:$A$201,$A158,Inputs!$B$2:$B$201,$B158)+SUMIFS(Inputs!$D$2:$D$201,Inputs!$A$2:$A$201,$A158,Inputs!$B$2:$B$201,$B158)+SUMIFS(Inputs!$G$2:$G$201,Inputs!$A$2:$A$201,$A158,Inputs!$B$2:$B$201,$B158)*+SUMIFS(Inputs!$X$2:$X$201,Inputs!$W$2:$W$201,$A158,Inputs!$V$2:$V$201,$B158)</f>
        <v>1209363.5592306096</v>
      </c>
      <c r="D158" s="26">
        <f ca="1">IFERROR(SUMIFS(Inputs!$G$2:$G$201,Inputs!$A$2:$A$201,$A158,Inputs!$B$2:$B$201,$B158)/SUMIFS(Inputs!$C$2:$C$201,Inputs!$A$2:$A$201,$A158,Inputs!$B$2:$B$201,$B158),0)</f>
        <v>0.019533424608733616</v>
      </c>
      <c r="E158" s="25">
        <f ca="1">SUMIFS(Inputs!$F$2:$F$201,Inputs!$A$2:$A$201,$A158,Inputs!$B$2:$B$201,$B158)+SUMIFS(Inputs!$D$2:$D$201,Inputs!$A$2:$A$201,$A158,Inputs!$B$2:$B$201,$B158)+SUMIFS(Inputs!$H$2:$H$201,Inputs!$A$2:$A$201,$A158,Inputs!$B$2:$B$201,$B158)*+SUMIFS(Inputs!$X$2:$X$201,Inputs!$W$2:$W$201,$A158,Inputs!$V$2:$V$201,$B158)</f>
        <v>1254847.8581321577</v>
      </c>
      <c r="F158" s="26">
        <f ca="1">IFERROR(SUMIFS(Inputs!$H$2:$H$201,Inputs!$A$2:$A$201,$A158,Inputs!$B$2:$B$201,$B158)/SUMIFS(Inputs!$C$2:$C$201,Inputs!$A$2:$A$201,$A158,Inputs!$B$2:$B$201,$B158),0)</f>
        <v>0.024384708559105316</v>
      </c>
      <c r="G158" s="27">
        <f ca="1">D158*SUMIFS(Inputs!$R$2:$R$23,Inputs!$P$2:$P$23,$B158)/SUMIFS(Inputs!$Q$2:$Q$23,Inputs!$P$2:$P$23,$B158)</f>
        <v>0.036456214899553925</v>
      </c>
      <c r="H158" s="27">
        <f ca="1">MAX(G158,$H$1)</f>
        <v>0.036456214899553925</v>
      </c>
      <c r="I158" s="27">
        <f ca="1">MIN(G158,$I$1)</f>
        <v>0.036456214899553925</v>
      </c>
    </row>
    <row r="159" spans="1:9" x14ac:dyDescent="0.3">
      <c r="A159" s="24">
        <v>2022</v>
      </c>
      <c r="B159" s="24" cm="1" t="str">
        <f t="array" aca="1" ref="B159" ca="1">INDIRECT("'Params'!A" &amp; (QUOTIENT(ROW(A159)-4, 10) + 1))</f>
        <v>DCBON</v>
      </c>
      <c r="C159" s="25">
        <f ca="1">SUMIFS(Inputs!$F$2:$F$201,Inputs!$A$2:$A$201,$A159,Inputs!$B$2:$B$201,$B159)+SUMIFS(Inputs!$D$2:$D$201,Inputs!$A$2:$A$201,$A159,Inputs!$B$2:$B$201,$B159)+SUMIFS(Inputs!$G$2:$G$201,Inputs!$A$2:$A$201,$A159,Inputs!$B$2:$B$201,$B159)*+SUMIFS(Inputs!$X$2:$X$201,Inputs!$W$2:$W$201,$A159,Inputs!$V$2:$V$201,$B159)</f>
        <v>1657245.7627738048</v>
      </c>
      <c r="D159" s="26">
        <f ca="1">IFERROR(SUMIFS(Inputs!$G$2:$G$201,Inputs!$A$2:$A$201,$A159,Inputs!$B$2:$B$201,$B159)/SUMIFS(Inputs!$C$2:$C$201,Inputs!$A$2:$A$201,$A159,Inputs!$B$2:$B$201,$B159),0)</f>
        <v>0.42558444404752943</v>
      </c>
      <c r="E159" s="25">
        <f ca="1">SUMIFS(Inputs!$F$2:$F$201,Inputs!$A$2:$A$201,$A159,Inputs!$B$2:$B$201,$B159)+SUMIFS(Inputs!$D$2:$D$201,Inputs!$A$2:$A$201,$A159,Inputs!$B$2:$B$201,$B159)+SUMIFS(Inputs!$H$2:$H$201,Inputs!$A$2:$A$201,$A159,Inputs!$B$2:$B$201,$B159)*+SUMIFS(Inputs!$X$2:$X$201,Inputs!$W$2:$W$201,$A159,Inputs!$V$2:$V$201,$B159)</f>
        <v>1976462.1415010032</v>
      </c>
      <c r="F159" s="26">
        <f ca="1">IFERROR(SUMIFS(Inputs!$H$2:$H$201,Inputs!$A$2:$A$201,$A159,Inputs!$B$2:$B$201,$B159)/SUMIFS(Inputs!$C$2:$C$201,Inputs!$A$2:$A$201,$A159,Inputs!$B$2:$B$201,$B159),0)</f>
        <v>0.5312817820356937</v>
      </c>
      <c r="G159" s="27">
        <f ca="1">D159*SUMIFS(Inputs!$R$2:$R$23,Inputs!$P$2:$P$23,$B159)/SUMIFS(Inputs!$Q$2:$Q$23,Inputs!$P$2:$P$23,$B159)</f>
        <v>0.7942896988563334</v>
      </c>
      <c r="H159" s="27">
        <f ca="1">MAX(G159,$H$1)</f>
        <v>0.7942896988563334</v>
      </c>
      <c r="I159" s="27">
        <f ca="1">MIN(G159,$I$1)</f>
        <v>0.7942896988563334</v>
      </c>
    </row>
    <row r="160" spans="1:9" x14ac:dyDescent="0.3">
      <c r="A160" s="24">
        <v>2023</v>
      </c>
      <c r="B160" s="24" cm="1" t="str">
        <f t="array" aca="1" ref="B160" ca="1">INDIRECT("'Params'!A" &amp; (QUOTIENT(ROW(A160)-4, 10) + 1))</f>
        <v>DCBON</v>
      </c>
      <c r="C160" s="25">
        <f ca="1">SUMIFS(Inputs!$F$2:$F$201,Inputs!$A$2:$A$201,$A160,Inputs!$B$2:$B$201,$B160)+SUMIFS(Inputs!$D$2:$D$201,Inputs!$A$2:$A$201,$A160,Inputs!$B$2:$B$201,$B160)+SUMIFS(Inputs!$G$2:$G$201,Inputs!$A$2:$A$201,$A160,Inputs!$B$2:$B$201,$B160)*+SUMIFS(Inputs!$X$2:$X$201,Inputs!$W$2:$W$201,$A160,Inputs!$V$2:$V$201,$B160)</f>
        <v>283102.221543525</v>
      </c>
      <c r="D160" s="26">
        <f ca="1">IFERROR(SUMIFS(Inputs!$G$2:$G$201,Inputs!$A$2:$A$201,$A160,Inputs!$B$2:$B$201,$B160)/SUMIFS(Inputs!$C$2:$C$201,Inputs!$A$2:$A$201,$A160,Inputs!$B$2:$B$201,$B160),0)</f>
        <v>0.51</v>
      </c>
      <c r="E160" s="25">
        <f ca="1">SUMIFS(Inputs!$F$2:$F$201,Inputs!$A$2:$A$201,$A160,Inputs!$B$2:$B$201,$B160)+SUMIFS(Inputs!$D$2:$D$201,Inputs!$A$2:$A$201,$A160,Inputs!$B$2:$B$201,$B160)+SUMIFS(Inputs!$H$2:$H$201,Inputs!$A$2:$A$201,$A160,Inputs!$B$2:$B$201,$B160)*+SUMIFS(Inputs!$X$2:$X$201,Inputs!$W$2:$W$201,$A160,Inputs!$V$2:$V$201,$B160)</f>
        <v>356292.61342806247</v>
      </c>
      <c r="F160" s="26">
        <f ca="1">IFERROR(SUMIFS(Inputs!$H$2:$H$201,Inputs!$A$2:$A$201,$A160,Inputs!$B$2:$B$201,$B160)/SUMIFS(Inputs!$C$2:$C$201,Inputs!$A$2:$A$201,$A160,Inputs!$B$2:$B$201,$B160),0)</f>
        <v>0.6418502541506032</v>
      </c>
      <c r="G160" s="27">
        <f ca="1">D160*SUMIFS(Inputs!$R$2:$R$23,Inputs!$P$2:$P$23,$B160)/SUMIFS(Inputs!$Q$2:$Q$23,Inputs!$P$2:$P$23,$B160)</f>
        <v>0.9518387057669093</v>
      </c>
      <c r="H160" s="27">
        <f ca="1">MAX(G160,$H$1)</f>
        <v>0.9518387057669093</v>
      </c>
      <c r="I160" s="27">
        <f ca="1">MIN(G160,$I$1)</f>
        <v>0.9518387057669093</v>
      </c>
    </row>
    <row r="161" spans="1:9" x14ac:dyDescent="0.3">
      <c r="A161" s="24">
        <v>2024</v>
      </c>
      <c r="B161" s="24" cm="1" t="str">
        <f t="array" aca="1" ref="B161" ca="1">INDIRECT("'Params'!A" &amp; (QUOTIENT(ROW(A161)-4, 10) + 1))</f>
        <v>DCBON</v>
      </c>
      <c r="C161" s="25">
        <f ca="1">SUMIFS(Inputs!$F$2:$F$201,Inputs!$A$2:$A$201,$A161,Inputs!$B$2:$B$201,$B161)+SUMIFS(Inputs!$D$2:$D$201,Inputs!$A$2:$A$201,$A161,Inputs!$B$2:$B$201,$B161)+SUMIFS(Inputs!$G$2:$G$201,Inputs!$A$2:$A$201,$A161,Inputs!$B$2:$B$201,$B161)*+SUMIFS(Inputs!$X$2:$X$201,Inputs!$W$2:$W$201,$A161,Inputs!$V$2:$V$201,$B161)</f>
        <v>11930.88517743221</v>
      </c>
      <c r="D161" s="26">
        <f ca="1">IFERROR(SUMIFS(Inputs!$G$2:$G$201,Inputs!$A$2:$A$201,$A161,Inputs!$B$2:$B$201,$B161)/SUMIFS(Inputs!$C$2:$C$201,Inputs!$A$2:$A$201,$A161,Inputs!$B$2:$B$201,$B161),0)</f>
        <v>0.51</v>
      </c>
      <c r="E161" s="25">
        <f ca="1">SUMIFS(Inputs!$F$2:$F$201,Inputs!$A$2:$A$201,$A161,Inputs!$B$2:$B$201,$B161)+SUMIFS(Inputs!$D$2:$D$201,Inputs!$A$2:$A$201,$A161,Inputs!$B$2:$B$201,$B161)+SUMIFS(Inputs!$H$2:$H$201,Inputs!$A$2:$A$201,$A161,Inputs!$B$2:$B$201,$B161)*+SUMIFS(Inputs!$X$2:$X$201,Inputs!$W$2:$W$201,$A161,Inputs!$V$2:$V$201,$B161)</f>
        <v>15256.737751711093</v>
      </c>
      <c r="F161" s="26">
        <f ca="1">IFERROR(SUMIFS(Inputs!$H$2:$H$201,Inputs!$A$2:$A$201,$A161,Inputs!$B$2:$B$201,$B161)/SUMIFS(Inputs!$C$2:$C$201,Inputs!$A$2:$A$201,$A161,Inputs!$B$2:$B$201,$B161),0)</f>
        <v>0.6521675582035302</v>
      </c>
      <c r="G161" s="27">
        <f ca="1">D161*SUMIFS(Inputs!$R$2:$R$23,Inputs!$P$2:$P$23,$B161)/SUMIFS(Inputs!$Q$2:$Q$23,Inputs!$P$2:$P$23,$B161)</f>
        <v>0.9518387057669093</v>
      </c>
      <c r="H161" s="27">
        <f ca="1">MAX(G161,$H$1)</f>
        <v>0.9518387057669093</v>
      </c>
      <c r="I161" s="27">
        <f ca="1">MIN(G161,$I$1)</f>
        <v>0.9518387057669093</v>
      </c>
    </row>
    <row r="162" spans="1:9" x14ac:dyDescent="0.3">
      <c r="A162" s="24">
        <v>2025</v>
      </c>
      <c r="B162" s="24" cm="1" t="str">
        <f t="array" aca="1" ref="B162" ca="1">INDIRECT("'Params'!A" &amp; (QUOTIENT(ROW(A162)-4, 10) + 1))</f>
        <v>DCBON</v>
      </c>
      <c r="C162" s="25">
        <f ca="1">SUMIFS(Inputs!$F$2:$F$201,Inputs!$A$2:$A$201,$A162,Inputs!$B$2:$B$201,$B162)+SUMIFS(Inputs!$D$2:$D$201,Inputs!$A$2:$A$201,$A162,Inputs!$B$2:$B$201,$B162)+SUMIFS(Inputs!$G$2:$G$201,Inputs!$A$2:$A$201,$A162,Inputs!$B$2:$B$201,$B162)*+SUMIFS(Inputs!$X$2:$X$201,Inputs!$W$2:$W$201,$A162,Inputs!$V$2:$V$201,$B162)</f>
        <v>0.0</v>
      </c>
      <c r="D162" s="26">
        <f ca="1">IFERROR(SUMIFS(Inputs!$G$2:$G$201,Inputs!$A$2:$A$201,$A162,Inputs!$B$2:$B$201,$B162)/SUMIFS(Inputs!$C$2:$C$201,Inputs!$A$2:$A$201,$A162,Inputs!$B$2:$B$201,$B162),0)</f>
        <v>0.0</v>
      </c>
      <c r="E162" s="25">
        <f ca="1">SUMIFS(Inputs!$F$2:$F$201,Inputs!$A$2:$A$201,$A162,Inputs!$B$2:$B$201,$B162)+SUMIFS(Inputs!$D$2:$D$201,Inputs!$A$2:$A$201,$A162,Inputs!$B$2:$B$201,$B162)+SUMIFS(Inputs!$H$2:$H$201,Inputs!$A$2:$A$201,$A162,Inputs!$B$2:$B$201,$B162)*+SUMIFS(Inputs!$X$2:$X$201,Inputs!$W$2:$W$201,$A162,Inputs!$V$2:$V$201,$B162)</f>
        <v>0.0</v>
      </c>
      <c r="F162" s="26">
        <f ca="1">IFERROR(SUMIFS(Inputs!$H$2:$H$201,Inputs!$A$2:$A$201,$A162,Inputs!$B$2:$B$201,$B162)/SUMIFS(Inputs!$C$2:$C$201,Inputs!$A$2:$A$201,$A162,Inputs!$B$2:$B$201,$B162),0)</f>
        <v>0.0</v>
      </c>
      <c r="G162" s="27">
        <f ca="1">D162*SUMIFS(Inputs!$R$2:$R$23,Inputs!$P$2:$P$23,$B162)/SUMIFS(Inputs!$Q$2:$Q$23,Inputs!$P$2:$P$23,$B162)</f>
        <v>0.0</v>
      </c>
      <c r="H162" s="27">
        <f ca="1">MAX(G162,$H$1)</f>
        <v>0.0</v>
      </c>
      <c r="I162" s="27">
        <f ca="1">MIN(G162,$I$1)</f>
        <v>0.0</v>
      </c>
    </row>
    <row r="163" spans="1:9" x14ac:dyDescent="0.3">
      <c r="A163" s="24">
        <v>2026</v>
      </c>
      <c r="B163" s="24" cm="1" t="str">
        <f t="array" aca="1" ref="B163" ca="1">INDIRECT("'Params'!A" &amp; (QUOTIENT(ROW(A163)-4, 10) + 1))</f>
        <v>DCBON</v>
      </c>
      <c r="C163" s="25">
        <f ca="1">SUMIFS(Inputs!$F$2:$F$201,Inputs!$A$2:$A$201,$A163,Inputs!$B$2:$B$201,$B163)+SUMIFS(Inputs!$D$2:$D$201,Inputs!$A$2:$A$201,$A163,Inputs!$B$2:$B$201,$B163)+SUMIFS(Inputs!$G$2:$G$201,Inputs!$A$2:$A$201,$A163,Inputs!$B$2:$B$201,$B163)*+SUMIFS(Inputs!$X$2:$X$201,Inputs!$W$2:$W$201,$A163,Inputs!$V$2:$V$201,$B163)</f>
        <v>0.0</v>
      </c>
      <c r="D163" s="26">
        <f ca="1">IFERROR(SUMIFS(Inputs!$G$2:$G$201,Inputs!$A$2:$A$201,$A163,Inputs!$B$2:$B$201,$B163)/SUMIFS(Inputs!$C$2:$C$201,Inputs!$A$2:$A$201,$A163,Inputs!$B$2:$B$201,$B163),0)</f>
        <v>0.0</v>
      </c>
      <c r="E163" s="25">
        <f ca="1">SUMIFS(Inputs!$F$2:$F$201,Inputs!$A$2:$A$201,$A163,Inputs!$B$2:$B$201,$B163)+SUMIFS(Inputs!$D$2:$D$201,Inputs!$A$2:$A$201,$A163,Inputs!$B$2:$B$201,$B163)+SUMIFS(Inputs!$H$2:$H$201,Inputs!$A$2:$A$201,$A163,Inputs!$B$2:$B$201,$B163)*+SUMIFS(Inputs!$X$2:$X$201,Inputs!$W$2:$W$201,$A163,Inputs!$V$2:$V$201,$B163)</f>
        <v>0.0</v>
      </c>
      <c r="F163" s="26">
        <f ca="1">IFERROR(SUMIFS(Inputs!$H$2:$H$201,Inputs!$A$2:$A$201,$A163,Inputs!$B$2:$B$201,$B163)/SUMIFS(Inputs!$C$2:$C$201,Inputs!$A$2:$A$201,$A163,Inputs!$B$2:$B$201,$B163),0)</f>
        <v>0.0</v>
      </c>
      <c r="G163" s="27">
        <f ca="1">D163*SUMIFS(Inputs!$R$2:$R$23,Inputs!$P$2:$P$23,$B163)/SUMIFS(Inputs!$Q$2:$Q$23,Inputs!$P$2:$P$23,$B163)</f>
        <v>0.0</v>
      </c>
      <c r="H163" s="27">
        <f ca="1">MAX(G163,$H$1)</f>
        <v>0.0</v>
      </c>
      <c r="I163" s="27">
        <f ca="1">MIN(G163,$I$1)</f>
        <v>0.0</v>
      </c>
    </row>
    <row r="164" spans="1:9" x14ac:dyDescent="0.3">
      <c r="A164" s="24">
        <v>2017</v>
      </c>
      <c r="B164" s="24" cm="1" t="str">
        <f t="array" aca="1" ref="B164" ca="1">INDIRECT("'Params'!A" &amp; (QUOTIENT(ROW(A164)-4, 10) + 1))</f>
        <v>DCFIL</v>
      </c>
      <c r="C164" s="25">
        <f ca="1">SUMIFS(Inputs!$F$2:$F$201,Inputs!$A$2:$A$201,$A164,Inputs!$B$2:$B$201,$B164)+SUMIFS(Inputs!$D$2:$D$201,Inputs!$A$2:$A$201,$A164,Inputs!$B$2:$B$201,$B164)+SUMIFS(Inputs!$G$2:$G$201,Inputs!$A$2:$A$201,$A164,Inputs!$B$2:$B$201,$B164)*+SUMIFS(Inputs!$X$2:$X$201,Inputs!$W$2:$W$201,$A164,Inputs!$V$2:$V$201,$B164)</f>
        <v>265967.86832010344</v>
      </c>
      <c r="D164" s="26">
        <f ca="1">IFERROR(SUMIFS(Inputs!$G$2:$G$201,Inputs!$A$2:$A$201,$A164,Inputs!$B$2:$B$201,$B164)/SUMIFS(Inputs!$C$2:$C$201,Inputs!$A$2:$A$201,$A164,Inputs!$B$2:$B$201,$B164),0)</f>
        <v>0.0</v>
      </c>
      <c r="E164" s="25">
        <f ca="1">SUMIFS(Inputs!$F$2:$F$201,Inputs!$A$2:$A$201,$A164,Inputs!$B$2:$B$201,$B164)+SUMIFS(Inputs!$D$2:$D$201,Inputs!$A$2:$A$201,$A164,Inputs!$B$2:$B$201,$B164)+SUMIFS(Inputs!$H$2:$H$201,Inputs!$A$2:$A$201,$A164,Inputs!$B$2:$B$201,$B164)*+SUMIFS(Inputs!$X$2:$X$201,Inputs!$W$2:$W$201,$A164,Inputs!$V$2:$V$201,$B164)</f>
        <v>265967.86832010344</v>
      </c>
      <c r="F164" s="26">
        <f ca="1">IFERROR(SUMIFS(Inputs!$H$2:$H$201,Inputs!$A$2:$A$201,$A164,Inputs!$B$2:$B$201,$B164)/SUMIFS(Inputs!$C$2:$C$201,Inputs!$A$2:$A$201,$A164,Inputs!$B$2:$B$201,$B164),0)</f>
        <v>0.0</v>
      </c>
      <c r="G164" s="27">
        <f ca="1">D164*SUMIFS(Inputs!$R$2:$R$23,Inputs!$P$2:$P$23,$B164)/SUMIFS(Inputs!$Q$2:$Q$23,Inputs!$P$2:$P$23,$B164)</f>
        <v>0.0</v>
      </c>
      <c r="H164" s="27">
        <f ca="1">MAX(G164,$H$1)</f>
        <v>0.0</v>
      </c>
      <c r="I164" s="27">
        <f ca="1">MIN(G164,$I$1)</f>
        <v>0.0</v>
      </c>
    </row>
    <row r="165" spans="1:9" x14ac:dyDescent="0.3">
      <c r="A165" s="24">
        <v>2018</v>
      </c>
      <c r="B165" s="24" cm="1" t="str">
        <f t="array" aca="1" ref="B165" ca="1">INDIRECT("'Params'!A" &amp; (QUOTIENT(ROW(A165)-4, 10) + 1))</f>
        <v>DCFIL</v>
      </c>
      <c r="C165" s="25">
        <f ca="1">SUMIFS(Inputs!$F$2:$F$201,Inputs!$A$2:$A$201,$A165,Inputs!$B$2:$B$201,$B165)+SUMIFS(Inputs!$D$2:$D$201,Inputs!$A$2:$A$201,$A165,Inputs!$B$2:$B$201,$B165)+SUMIFS(Inputs!$G$2:$G$201,Inputs!$A$2:$A$201,$A165,Inputs!$B$2:$B$201,$B165)*+SUMIFS(Inputs!$X$2:$X$201,Inputs!$W$2:$W$201,$A165,Inputs!$V$2:$V$201,$B165)</f>
        <v>4155790.497287543</v>
      </c>
      <c r="D165" s="26">
        <f ca="1">IFERROR(SUMIFS(Inputs!$G$2:$G$201,Inputs!$A$2:$A$201,$A165,Inputs!$B$2:$B$201,$B165)/SUMIFS(Inputs!$C$2:$C$201,Inputs!$A$2:$A$201,$A165,Inputs!$B$2:$B$201,$B165),0)</f>
        <v>0.06045547230985323</v>
      </c>
      <c r="E165" s="25">
        <f ca="1">SUMIFS(Inputs!$F$2:$F$201,Inputs!$A$2:$A$201,$A165,Inputs!$B$2:$B$201,$B165)+SUMIFS(Inputs!$D$2:$D$201,Inputs!$A$2:$A$201,$A165,Inputs!$B$2:$B$201,$B165)+SUMIFS(Inputs!$H$2:$H$201,Inputs!$A$2:$A$201,$A165,Inputs!$B$2:$B$201,$B165)*+SUMIFS(Inputs!$X$2:$X$201,Inputs!$W$2:$W$201,$A165,Inputs!$V$2:$V$201,$B165)</f>
        <v>4227173.124304745</v>
      </c>
      <c r="F165" s="26">
        <f ca="1">IFERROR(SUMIFS(Inputs!$H$2:$H$201,Inputs!$A$2:$A$201,$A165,Inputs!$B$2:$B$201,$B165)/SUMIFS(Inputs!$C$2:$C$201,Inputs!$A$2:$A$201,$A165,Inputs!$B$2:$B$201,$B165),0)</f>
        <v>0.07021408198691359</v>
      </c>
      <c r="G165" s="27">
        <f ca="1">D165*SUMIFS(Inputs!$R$2:$R$23,Inputs!$P$2:$P$23,$B165)/SUMIFS(Inputs!$Q$2:$Q$23,Inputs!$P$2:$P$23,$B165)</f>
        <v>0.02228306939312566</v>
      </c>
      <c r="H165" s="27">
        <f ca="1">MAX(G165,$H$1)</f>
        <v>0.02228306939312566</v>
      </c>
      <c r="I165" s="27">
        <f ca="1">MIN(G165,$I$1)</f>
        <v>0.02228306939312566</v>
      </c>
    </row>
    <row r="166" spans="1:9" x14ac:dyDescent="0.3">
      <c r="A166" s="24">
        <v>2019</v>
      </c>
      <c r="B166" s="24" cm="1" t="str">
        <f t="array" aca="1" ref="B166" ca="1">INDIRECT("'Params'!A" &amp; (QUOTIENT(ROW(A166)-4, 10) + 1))</f>
        <v>DCFIL</v>
      </c>
      <c r="C166" s="25">
        <f ca="1">SUMIFS(Inputs!$F$2:$F$201,Inputs!$A$2:$A$201,$A166,Inputs!$B$2:$B$201,$B166)+SUMIFS(Inputs!$D$2:$D$201,Inputs!$A$2:$A$201,$A166,Inputs!$B$2:$B$201,$B166)+SUMIFS(Inputs!$G$2:$G$201,Inputs!$A$2:$A$201,$A166,Inputs!$B$2:$B$201,$B166)*+SUMIFS(Inputs!$X$2:$X$201,Inputs!$W$2:$W$201,$A166,Inputs!$V$2:$V$201,$B166)</f>
        <v>5583498.740404488</v>
      </c>
      <c r="D166" s="26">
        <f ca="1">IFERROR(SUMIFS(Inputs!$G$2:$G$201,Inputs!$A$2:$A$201,$A166,Inputs!$B$2:$B$201,$B166)/SUMIFS(Inputs!$C$2:$C$201,Inputs!$A$2:$A$201,$A166,Inputs!$B$2:$B$201,$B166),0)</f>
        <v>0.028418242808798993</v>
      </c>
      <c r="E166" s="25">
        <f ca="1">SUMIFS(Inputs!$F$2:$F$201,Inputs!$A$2:$A$201,$A166,Inputs!$B$2:$B$201,$B166)+SUMIFS(Inputs!$D$2:$D$201,Inputs!$A$2:$A$201,$A166,Inputs!$B$2:$B$201,$B166)+SUMIFS(Inputs!$H$2:$H$201,Inputs!$A$2:$A$201,$A166,Inputs!$B$2:$B$201,$B166)*+SUMIFS(Inputs!$X$2:$X$201,Inputs!$W$2:$W$201,$A166,Inputs!$V$2:$V$201,$B166)</f>
        <v>5634652.700125492</v>
      </c>
      <c r="F166" s="26">
        <f ca="1">IFERROR(SUMIFS(Inputs!$H$2:$H$201,Inputs!$A$2:$A$201,$A166,Inputs!$B$2:$B$201,$B166)/SUMIFS(Inputs!$C$2:$C$201,Inputs!$A$2:$A$201,$A166,Inputs!$B$2:$B$201,$B166),0)</f>
        <v>0.033005462603520504</v>
      </c>
      <c r="G166" s="27">
        <f ca="1">D166*SUMIFS(Inputs!$R$2:$R$23,Inputs!$P$2:$P$23,$B166)/SUMIFS(Inputs!$Q$2:$Q$23,Inputs!$P$2:$P$23,$B166)</f>
        <v>0.01047457992377563</v>
      </c>
      <c r="H166" s="27">
        <f ca="1">MAX(G166,$H$1)</f>
        <v>0.01047457992377563</v>
      </c>
      <c r="I166" s="27">
        <f ca="1">MIN(G166,$I$1)</f>
        <v>0.01047457992377563</v>
      </c>
    </row>
    <row r="167" spans="1:9" x14ac:dyDescent="0.3">
      <c r="A167" s="24">
        <v>2020</v>
      </c>
      <c r="B167" s="24" cm="1" t="str">
        <f t="array" aca="1" ref="B167" ca="1">INDIRECT("'Params'!A" &amp; (QUOTIENT(ROW(A167)-4, 10) + 1))</f>
        <v>DCFIL</v>
      </c>
      <c r="C167" s="25">
        <f ca="1">SUMIFS(Inputs!$F$2:$F$201,Inputs!$A$2:$A$201,$A167,Inputs!$B$2:$B$201,$B167)+SUMIFS(Inputs!$D$2:$D$201,Inputs!$A$2:$A$201,$A167,Inputs!$B$2:$B$201,$B167)+SUMIFS(Inputs!$G$2:$G$201,Inputs!$A$2:$A$201,$A167,Inputs!$B$2:$B$201,$B167)*+SUMIFS(Inputs!$X$2:$X$201,Inputs!$W$2:$W$201,$A167,Inputs!$V$2:$V$201,$B167)</f>
        <v>4131603.171254634</v>
      </c>
      <c r="D167" s="26">
        <f ca="1">IFERROR(SUMIFS(Inputs!$G$2:$G$201,Inputs!$A$2:$A$201,$A167,Inputs!$B$2:$B$201,$B167)/SUMIFS(Inputs!$C$2:$C$201,Inputs!$A$2:$A$201,$A167,Inputs!$B$2:$B$201,$B167),0)</f>
        <v>0.4536558036114993</v>
      </c>
      <c r="E167" s="25">
        <f ca="1">SUMIFS(Inputs!$F$2:$F$201,Inputs!$A$2:$A$201,$A167,Inputs!$B$2:$B$201,$B167)+SUMIFS(Inputs!$D$2:$D$201,Inputs!$A$2:$A$201,$A167,Inputs!$B$2:$B$201,$B167)+SUMIFS(Inputs!$H$2:$H$201,Inputs!$A$2:$A$201,$A167,Inputs!$B$2:$B$201,$B167)*+SUMIFS(Inputs!$X$2:$X$201,Inputs!$W$2:$W$201,$A167,Inputs!$V$2:$V$201,$B167)</f>
        <v>4797545.390711496</v>
      </c>
      <c r="F167" s="26">
        <f ca="1">IFERROR(SUMIFS(Inputs!$H$2:$H$201,Inputs!$A$2:$A$201,$A167,Inputs!$B$2:$B$201,$B167)/SUMIFS(Inputs!$C$2:$C$201,Inputs!$A$2:$A$201,$A167,Inputs!$B$2:$B$201,$B167),0)</f>
        <v>0.5268840780096838</v>
      </c>
      <c r="G167" s="27">
        <f ca="1">D167*SUMIFS(Inputs!$R$2:$R$23,Inputs!$P$2:$P$23,$B167)/SUMIFS(Inputs!$Q$2:$Q$23,Inputs!$P$2:$P$23,$B167)</f>
        <v>0.1672113932161217</v>
      </c>
      <c r="H167" s="27">
        <f ca="1">MAX(G167,$H$1)</f>
        <v>0.1672113932161217</v>
      </c>
      <c r="I167" s="27">
        <f ca="1">MIN(G167,$I$1)</f>
        <v>0.1672113932161217</v>
      </c>
    </row>
    <row r="168" spans="1:9" x14ac:dyDescent="0.3">
      <c r="A168" s="24">
        <v>2021</v>
      </c>
      <c r="B168" s="24" cm="1" t="str">
        <f t="array" aca="1" ref="B168" ca="1">INDIRECT("'Params'!A" &amp; (QUOTIENT(ROW(A168)-4, 10) + 1))</f>
        <v>DCFIL</v>
      </c>
      <c r="C168" s="25">
        <f ca="1">SUMIFS(Inputs!$F$2:$F$201,Inputs!$A$2:$A$201,$A168,Inputs!$B$2:$B$201,$B168)+SUMIFS(Inputs!$D$2:$D$201,Inputs!$A$2:$A$201,$A168,Inputs!$B$2:$B$201,$B168)+SUMIFS(Inputs!$G$2:$G$201,Inputs!$A$2:$A$201,$A168,Inputs!$B$2:$B$201,$B168)*+SUMIFS(Inputs!$X$2:$X$201,Inputs!$W$2:$W$201,$A168,Inputs!$V$2:$V$201,$B168)</f>
        <v>5037543.580072382</v>
      </c>
      <c r="D168" s="26">
        <f ca="1">IFERROR(SUMIFS(Inputs!$G$2:$G$201,Inputs!$A$2:$A$201,$A168,Inputs!$B$2:$B$201,$B168)/SUMIFS(Inputs!$C$2:$C$201,Inputs!$A$2:$A$201,$A168,Inputs!$B$2:$B$201,$B168),0)</f>
        <v>0.47736817522618696</v>
      </c>
      <c r="E168" s="25">
        <f ca="1">SUMIFS(Inputs!$F$2:$F$201,Inputs!$A$2:$A$201,$A168,Inputs!$B$2:$B$201,$B168)+SUMIFS(Inputs!$D$2:$D$201,Inputs!$A$2:$A$201,$A168,Inputs!$B$2:$B$201,$B168)+SUMIFS(Inputs!$H$2:$H$201,Inputs!$A$2:$A$201,$A168,Inputs!$B$2:$B$201,$B168)*+SUMIFS(Inputs!$X$2:$X$201,Inputs!$W$2:$W$201,$A168,Inputs!$V$2:$V$201,$B168)</f>
        <v>5848017.250477851</v>
      </c>
      <c r="F168" s="26">
        <f ca="1">IFERROR(SUMIFS(Inputs!$H$2:$H$201,Inputs!$A$2:$A$201,$A168,Inputs!$B$2:$B$201,$B168)/SUMIFS(Inputs!$C$2:$C$201,Inputs!$A$2:$A$201,$A168,Inputs!$B$2:$B$201,$B168),0)</f>
        <v>0.5544240564606747</v>
      </c>
      <c r="G168" s="27">
        <f ca="1">D168*SUMIFS(Inputs!$R$2:$R$23,Inputs!$P$2:$P$23,$B168)/SUMIFS(Inputs!$Q$2:$Q$23,Inputs!$P$2:$P$23,$B168)</f>
        <v>0.17595145266777118</v>
      </c>
      <c r="H168" s="27">
        <f ca="1">MAX(G168,$H$1)</f>
        <v>0.17595145266777118</v>
      </c>
      <c r="I168" s="27">
        <f ca="1">MIN(G168,$I$1)</f>
        <v>0.17595145266777118</v>
      </c>
    </row>
    <row r="169" spans="1:9" x14ac:dyDescent="0.3">
      <c r="A169" s="24">
        <v>2022</v>
      </c>
      <c r="B169" s="24" cm="1" t="str">
        <f t="array" aca="1" ref="B169" ca="1">INDIRECT("'Params'!A" &amp; (QUOTIENT(ROW(A169)-4, 10) + 1))</f>
        <v>DCFIL</v>
      </c>
      <c r="C169" s="25">
        <f ca="1">SUMIFS(Inputs!$F$2:$F$201,Inputs!$A$2:$A$201,$A169,Inputs!$B$2:$B$201,$B169)+SUMIFS(Inputs!$D$2:$D$201,Inputs!$A$2:$A$201,$A169,Inputs!$B$2:$B$201,$B169)+SUMIFS(Inputs!$G$2:$G$201,Inputs!$A$2:$A$201,$A169,Inputs!$B$2:$B$201,$B169)*+SUMIFS(Inputs!$X$2:$X$201,Inputs!$W$2:$W$201,$A169,Inputs!$V$2:$V$201,$B169)</f>
        <v>2818636.8215798517</v>
      </c>
      <c r="D169" s="26">
        <f ca="1">IFERROR(SUMIFS(Inputs!$G$2:$G$201,Inputs!$A$2:$A$201,$A169,Inputs!$B$2:$B$201,$B169)/SUMIFS(Inputs!$C$2:$C$201,Inputs!$A$2:$A$201,$A169,Inputs!$B$2:$B$201,$B169),0)</f>
        <v>0.5136979593489801</v>
      </c>
      <c r="E169" s="25">
        <f ca="1">SUMIFS(Inputs!$F$2:$F$201,Inputs!$A$2:$A$201,$A169,Inputs!$B$2:$B$201,$B169)+SUMIFS(Inputs!$D$2:$D$201,Inputs!$A$2:$A$201,$A169,Inputs!$B$2:$B$201,$B169)+SUMIFS(Inputs!$H$2:$H$201,Inputs!$A$2:$A$201,$A169,Inputs!$B$2:$B$201,$B169)*+SUMIFS(Inputs!$X$2:$X$201,Inputs!$W$2:$W$201,$A169,Inputs!$V$2:$V$201,$B169)</f>
        <v>3261768.8306786534</v>
      </c>
      <c r="F169" s="26">
        <f ca="1">IFERROR(SUMIFS(Inputs!$H$2:$H$201,Inputs!$A$2:$A$201,$A169,Inputs!$B$2:$B$201,$B169)/SUMIFS(Inputs!$C$2:$C$201,Inputs!$A$2:$A$201,$A169,Inputs!$B$2:$B$201,$B169),0)</f>
        <v>0.5966181266333582</v>
      </c>
      <c r="G169" s="27">
        <f ca="1">D169*SUMIFS(Inputs!$R$2:$R$23,Inputs!$P$2:$P$23,$B169)/SUMIFS(Inputs!$Q$2:$Q$23,Inputs!$P$2:$P$23,$B169)</f>
        <v>0.18934211971105114</v>
      </c>
      <c r="H169" s="27">
        <f ca="1">MAX(G169,$H$1)</f>
        <v>0.18934211971105114</v>
      </c>
      <c r="I169" s="27">
        <f ca="1">MIN(G169,$I$1)</f>
        <v>0.18934211971105114</v>
      </c>
    </row>
    <row r="170" spans="1:9" x14ac:dyDescent="0.3">
      <c r="A170" s="24">
        <v>2023</v>
      </c>
      <c r="B170" s="24" cm="1" t="str">
        <f t="array" aca="1" ref="B170" ca="1">INDIRECT("'Params'!A" &amp; (QUOTIENT(ROW(A170)-4, 10) + 1))</f>
        <v>DCFIL</v>
      </c>
      <c r="C170" s="25">
        <f ca="1">SUMIFS(Inputs!$F$2:$F$201,Inputs!$A$2:$A$201,$A170,Inputs!$B$2:$B$201,$B170)+SUMIFS(Inputs!$D$2:$D$201,Inputs!$A$2:$A$201,$A170,Inputs!$B$2:$B$201,$B170)+SUMIFS(Inputs!$G$2:$G$201,Inputs!$A$2:$A$201,$A170,Inputs!$B$2:$B$201,$B170)*+SUMIFS(Inputs!$X$2:$X$201,Inputs!$W$2:$W$201,$A170,Inputs!$V$2:$V$201,$B170)</f>
        <v>2412434.0038197385</v>
      </c>
      <c r="D170" s="26">
        <f ca="1">IFERROR(SUMIFS(Inputs!$G$2:$G$201,Inputs!$A$2:$A$201,$A170,Inputs!$B$2:$B$201,$B170)/SUMIFS(Inputs!$C$2:$C$201,Inputs!$A$2:$A$201,$A170,Inputs!$B$2:$B$201,$B170),0)</f>
        <v>0.27773548306825824</v>
      </c>
      <c r="E170" s="25">
        <f ca="1">SUMIFS(Inputs!$F$2:$F$201,Inputs!$A$2:$A$201,$A170,Inputs!$B$2:$B$201,$B170)+SUMIFS(Inputs!$D$2:$D$201,Inputs!$A$2:$A$201,$A170,Inputs!$B$2:$B$201,$B170)+SUMIFS(Inputs!$H$2:$H$201,Inputs!$A$2:$A$201,$A170,Inputs!$B$2:$B$201,$B170)*+SUMIFS(Inputs!$X$2:$X$201,Inputs!$W$2:$W$201,$A170,Inputs!$V$2:$V$201,$B170)</f>
        <v>2662072.0005439445</v>
      </c>
      <c r="F170" s="26">
        <f ca="1">IFERROR(SUMIFS(Inputs!$H$2:$H$201,Inputs!$A$2:$A$201,$A170,Inputs!$B$2:$B$201,$B170)/SUMIFS(Inputs!$C$2:$C$201,Inputs!$A$2:$A$201,$A170,Inputs!$B$2:$B$201,$B170),0)</f>
        <v>0.32251116471339625</v>
      </c>
      <c r="G170" s="27">
        <f ca="1">D170*SUMIFS(Inputs!$R$2:$R$23,Inputs!$P$2:$P$23,$B170)/SUMIFS(Inputs!$Q$2:$Q$23,Inputs!$P$2:$P$23,$B170)</f>
        <v>0.10236954250268265</v>
      </c>
      <c r="H170" s="27">
        <f ca="1">MAX(G170,$H$1)</f>
        <v>0.10236954250268265</v>
      </c>
      <c r="I170" s="27">
        <f ca="1">MIN(G170,$I$1)</f>
        <v>0.10236954250268265</v>
      </c>
    </row>
    <row r="171" spans="1:9" x14ac:dyDescent="0.3">
      <c r="A171" s="24">
        <v>2024</v>
      </c>
      <c r="B171" s="24" cm="1" t="str">
        <f t="array" aca="1" ref="B171" ca="1">INDIRECT("'Params'!A" &amp; (QUOTIENT(ROW(A171)-4, 10) + 1))</f>
        <v>DCFIL</v>
      </c>
      <c r="C171" s="25">
        <f ca="1">SUMIFS(Inputs!$F$2:$F$201,Inputs!$A$2:$A$201,$A171,Inputs!$B$2:$B$201,$B171)+SUMIFS(Inputs!$D$2:$D$201,Inputs!$A$2:$A$201,$A171,Inputs!$B$2:$B$201,$B171)+SUMIFS(Inputs!$G$2:$G$201,Inputs!$A$2:$A$201,$A171,Inputs!$B$2:$B$201,$B171)*+SUMIFS(Inputs!$X$2:$X$201,Inputs!$W$2:$W$201,$A171,Inputs!$V$2:$V$201,$B171)</f>
        <v>1216222.6979136693</v>
      </c>
      <c r="D171" s="26">
        <f ca="1">IFERROR(SUMIFS(Inputs!$G$2:$G$201,Inputs!$A$2:$A$201,$A171,Inputs!$B$2:$B$201,$B171)/SUMIFS(Inputs!$C$2:$C$201,Inputs!$A$2:$A$201,$A171,Inputs!$B$2:$B$201,$B171),0)</f>
        <v>0.24744463409594622</v>
      </c>
      <c r="E171" s="25">
        <f ca="1">SUMIFS(Inputs!$F$2:$F$201,Inputs!$A$2:$A$201,$A171,Inputs!$B$2:$B$201,$B171)+SUMIFS(Inputs!$D$2:$D$201,Inputs!$A$2:$A$201,$A171,Inputs!$B$2:$B$201,$B171)+SUMIFS(Inputs!$H$2:$H$201,Inputs!$A$2:$A$201,$A171,Inputs!$B$2:$B$201,$B171)*+SUMIFS(Inputs!$X$2:$X$201,Inputs!$W$2:$W$201,$A171,Inputs!$V$2:$V$201,$B171)</f>
        <v>1247663.1443410201</v>
      </c>
      <c r="F171" s="26">
        <f ca="1">IFERROR(SUMIFS(Inputs!$H$2:$H$201,Inputs!$A$2:$A$201,$A171,Inputs!$B$2:$B$201,$B171)/SUMIFS(Inputs!$C$2:$C$201,Inputs!$A$2:$A$201,$A171,Inputs!$B$2:$B$201,$B171),0)</f>
        <v>0.28782050555495736</v>
      </c>
      <c r="G171" s="27">
        <f ca="1">D171*SUMIFS(Inputs!$R$2:$R$23,Inputs!$P$2:$P$23,$B171)/SUMIFS(Inputs!$Q$2:$Q$23,Inputs!$P$2:$P$23,$B171)</f>
        <v>0.09120474527527421</v>
      </c>
      <c r="H171" s="27">
        <f ca="1">MAX(G171,$H$1)</f>
        <v>0.09120474527527421</v>
      </c>
      <c r="I171" s="27">
        <f ca="1">MIN(G171,$I$1)</f>
        <v>0.09120474527527421</v>
      </c>
    </row>
    <row r="172" spans="1:9" x14ac:dyDescent="0.3">
      <c r="A172" s="24">
        <v>2025</v>
      </c>
      <c r="B172" s="24" cm="1" t="str">
        <f t="array" aca="1" ref="B172" ca="1">INDIRECT("'Params'!A" &amp; (QUOTIENT(ROW(A172)-4, 10) + 1))</f>
        <v>DCFIL</v>
      </c>
      <c r="C172" s="25">
        <f ca="1">SUMIFS(Inputs!$F$2:$F$201,Inputs!$A$2:$A$201,$A172,Inputs!$B$2:$B$201,$B172)+SUMIFS(Inputs!$D$2:$D$201,Inputs!$A$2:$A$201,$A172,Inputs!$B$2:$B$201,$B172)+SUMIFS(Inputs!$G$2:$G$201,Inputs!$A$2:$A$201,$A172,Inputs!$B$2:$B$201,$B172)*+SUMIFS(Inputs!$X$2:$X$201,Inputs!$W$2:$W$201,$A172,Inputs!$V$2:$V$201,$B172)</f>
        <v>0.0</v>
      </c>
      <c r="D172" s="26">
        <f ca="1">IFERROR(SUMIFS(Inputs!$G$2:$G$201,Inputs!$A$2:$A$201,$A172,Inputs!$B$2:$B$201,$B172)/SUMIFS(Inputs!$C$2:$C$201,Inputs!$A$2:$A$201,$A172,Inputs!$B$2:$B$201,$B172),0)</f>
        <v>0.0</v>
      </c>
      <c r="E172" s="25">
        <f ca="1">SUMIFS(Inputs!$F$2:$F$201,Inputs!$A$2:$A$201,$A172,Inputs!$B$2:$B$201,$B172)+SUMIFS(Inputs!$D$2:$D$201,Inputs!$A$2:$A$201,$A172,Inputs!$B$2:$B$201,$B172)+SUMIFS(Inputs!$H$2:$H$201,Inputs!$A$2:$A$201,$A172,Inputs!$B$2:$B$201,$B172)*+SUMIFS(Inputs!$X$2:$X$201,Inputs!$W$2:$W$201,$A172,Inputs!$V$2:$V$201,$B172)</f>
        <v>0.0</v>
      </c>
      <c r="F172" s="26">
        <f ca="1">IFERROR(SUMIFS(Inputs!$H$2:$H$201,Inputs!$A$2:$A$201,$A172,Inputs!$B$2:$B$201,$B172)/SUMIFS(Inputs!$C$2:$C$201,Inputs!$A$2:$A$201,$A172,Inputs!$B$2:$B$201,$B172),0)</f>
        <v>0.0</v>
      </c>
      <c r="G172" s="27">
        <f ca="1">D172*SUMIFS(Inputs!$R$2:$R$23,Inputs!$P$2:$P$23,$B172)/SUMIFS(Inputs!$Q$2:$Q$23,Inputs!$P$2:$P$23,$B172)</f>
        <v>0.0</v>
      </c>
      <c r="H172" s="27">
        <f ca="1">MAX(G172,$H$1)</f>
        <v>0.0</v>
      </c>
      <c r="I172" s="27">
        <f ca="1">MIN(G172,$I$1)</f>
        <v>0.0</v>
      </c>
    </row>
    <row r="173" spans="1:9" x14ac:dyDescent="0.3">
      <c r="A173" s="24">
        <v>2026</v>
      </c>
      <c r="B173" s="24" cm="1" t="str">
        <f t="array" aca="1" ref="B173" ca="1">INDIRECT("'Params'!A" &amp; (QUOTIENT(ROW(A173)-4, 10) + 1))</f>
        <v>DCFIL</v>
      </c>
      <c r="C173" s="25">
        <f ca="1">SUMIFS(Inputs!$F$2:$F$201,Inputs!$A$2:$A$201,$A173,Inputs!$B$2:$B$201,$B173)+SUMIFS(Inputs!$D$2:$D$201,Inputs!$A$2:$A$201,$A173,Inputs!$B$2:$B$201,$B173)+SUMIFS(Inputs!$G$2:$G$201,Inputs!$A$2:$A$201,$A173,Inputs!$B$2:$B$201,$B173)*+SUMIFS(Inputs!$X$2:$X$201,Inputs!$W$2:$W$201,$A173,Inputs!$V$2:$V$201,$B173)</f>
        <v>0.0</v>
      </c>
      <c r="D173" s="26">
        <f ca="1">IFERROR(SUMIFS(Inputs!$G$2:$G$201,Inputs!$A$2:$A$201,$A173,Inputs!$B$2:$B$201,$B173)/SUMIFS(Inputs!$C$2:$C$201,Inputs!$A$2:$A$201,$A173,Inputs!$B$2:$B$201,$B173),0)</f>
        <v>0.0</v>
      </c>
      <c r="E173" s="25">
        <f ca="1">SUMIFS(Inputs!$F$2:$F$201,Inputs!$A$2:$A$201,$A173,Inputs!$B$2:$B$201,$B173)+SUMIFS(Inputs!$D$2:$D$201,Inputs!$A$2:$A$201,$A173,Inputs!$B$2:$B$201,$B173)+SUMIFS(Inputs!$H$2:$H$201,Inputs!$A$2:$A$201,$A173,Inputs!$B$2:$B$201,$B173)*+SUMIFS(Inputs!$X$2:$X$201,Inputs!$W$2:$W$201,$A173,Inputs!$V$2:$V$201,$B173)</f>
        <v>0.0</v>
      </c>
      <c r="F173" s="26">
        <f ca="1">IFERROR(SUMIFS(Inputs!$H$2:$H$201,Inputs!$A$2:$A$201,$A173,Inputs!$B$2:$B$201,$B173)/SUMIFS(Inputs!$C$2:$C$201,Inputs!$A$2:$A$201,$A173,Inputs!$B$2:$B$201,$B173),0)</f>
        <v>0.0</v>
      </c>
      <c r="G173" s="27">
        <f ca="1">D173*SUMIFS(Inputs!$R$2:$R$23,Inputs!$P$2:$P$23,$B173)/SUMIFS(Inputs!$Q$2:$Q$23,Inputs!$P$2:$P$23,$B173)</f>
        <v>0.0</v>
      </c>
      <c r="H173" s="27">
        <f ca="1">MAX(G173,$H$1)</f>
        <v>0.0</v>
      </c>
      <c r="I173" s="27">
        <f ca="1">MIN(G173,$I$1)</f>
        <v>0.0</v>
      </c>
    </row>
    <row r="174" spans="1:9" x14ac:dyDescent="0.3">
      <c r="A174" s="24">
        <v>2017</v>
      </c>
      <c r="B174" s="24" cm="1" t="str">
        <f t="array" aca="1" ref="B174" ca="1">INDIRECT("'Params'!A" &amp; (QUOTIENT(ROW(A174)-4, 10) + 1))</f>
        <v>DCSPE</v>
      </c>
      <c r="C174" s="25">
        <f ca="1">SUMIFS(Inputs!$F$2:$F$201,Inputs!$A$2:$A$201,$A174,Inputs!$B$2:$B$201,$B174)+SUMIFS(Inputs!$D$2:$D$201,Inputs!$A$2:$A$201,$A174,Inputs!$B$2:$B$201,$B174)+SUMIFS(Inputs!$G$2:$G$201,Inputs!$A$2:$A$201,$A174,Inputs!$B$2:$B$201,$B174)*+SUMIFS(Inputs!$X$2:$X$201,Inputs!$W$2:$W$201,$A174,Inputs!$V$2:$V$201,$B174)</f>
        <v>0.0</v>
      </c>
      <c r="D174" s="26">
        <f ca="1">IFERROR(SUMIFS(Inputs!$G$2:$G$201,Inputs!$A$2:$A$201,$A174,Inputs!$B$2:$B$201,$B174)/SUMIFS(Inputs!$C$2:$C$201,Inputs!$A$2:$A$201,$A174,Inputs!$B$2:$B$201,$B174),0)</f>
        <v>0.0</v>
      </c>
      <c r="E174" s="25">
        <f ca="1">SUMIFS(Inputs!$F$2:$F$201,Inputs!$A$2:$A$201,$A174,Inputs!$B$2:$B$201,$B174)+SUMIFS(Inputs!$D$2:$D$201,Inputs!$A$2:$A$201,$A174,Inputs!$B$2:$B$201,$B174)+SUMIFS(Inputs!$H$2:$H$201,Inputs!$A$2:$A$201,$A174,Inputs!$B$2:$B$201,$B174)*+SUMIFS(Inputs!$X$2:$X$201,Inputs!$W$2:$W$201,$A174,Inputs!$V$2:$V$201,$B174)</f>
        <v>0.0</v>
      </c>
      <c r="F174" s="26">
        <f ca="1">IFERROR(SUMIFS(Inputs!$H$2:$H$201,Inputs!$A$2:$A$201,$A174,Inputs!$B$2:$B$201,$B174)/SUMIFS(Inputs!$C$2:$C$201,Inputs!$A$2:$A$201,$A174,Inputs!$B$2:$B$201,$B174),0)</f>
        <v>0.0</v>
      </c>
      <c r="G174" s="27">
        <f ca="1">D174*SUMIFS(Inputs!$R$2:$R$23,Inputs!$P$2:$P$23,$B174)/SUMIFS(Inputs!$Q$2:$Q$23,Inputs!$P$2:$P$23,$B174)</f>
        <v>0.0</v>
      </c>
      <c r="H174" s="27">
        <f ca="1">MAX(G174,$H$1)</f>
        <v>0.0</v>
      </c>
      <c r="I174" s="27">
        <f ca="1">MIN(G174,$I$1)</f>
        <v>0.0</v>
      </c>
    </row>
    <row r="175" spans="1:9" x14ac:dyDescent="0.3">
      <c r="A175" s="24">
        <v>2018</v>
      </c>
      <c r="B175" s="24" cm="1" t="str">
        <f t="array" aca="1" ref="B175" ca="1">INDIRECT("'Params'!A" &amp; (QUOTIENT(ROW(A175)-4, 10) + 1))</f>
        <v>DCSPE</v>
      </c>
      <c r="C175" s="25">
        <f ca="1">SUMIFS(Inputs!$F$2:$F$201,Inputs!$A$2:$A$201,$A175,Inputs!$B$2:$B$201,$B175)+SUMIFS(Inputs!$D$2:$D$201,Inputs!$A$2:$A$201,$A175,Inputs!$B$2:$B$201,$B175)+SUMIFS(Inputs!$G$2:$G$201,Inputs!$A$2:$A$201,$A175,Inputs!$B$2:$B$201,$B175)*+SUMIFS(Inputs!$X$2:$X$201,Inputs!$W$2:$W$201,$A175,Inputs!$V$2:$V$201,$B175)</f>
        <v>0.0</v>
      </c>
      <c r="D175" s="26">
        <f ca="1">IFERROR(SUMIFS(Inputs!$G$2:$G$201,Inputs!$A$2:$A$201,$A175,Inputs!$B$2:$B$201,$B175)/SUMIFS(Inputs!$C$2:$C$201,Inputs!$A$2:$A$201,$A175,Inputs!$B$2:$B$201,$B175),0)</f>
        <v>0.0</v>
      </c>
      <c r="E175" s="25">
        <f ca="1">SUMIFS(Inputs!$F$2:$F$201,Inputs!$A$2:$A$201,$A175,Inputs!$B$2:$B$201,$B175)+SUMIFS(Inputs!$D$2:$D$201,Inputs!$A$2:$A$201,$A175,Inputs!$B$2:$B$201,$B175)+SUMIFS(Inputs!$H$2:$H$201,Inputs!$A$2:$A$201,$A175,Inputs!$B$2:$B$201,$B175)*+SUMIFS(Inputs!$X$2:$X$201,Inputs!$W$2:$W$201,$A175,Inputs!$V$2:$V$201,$B175)</f>
        <v>0.0</v>
      </c>
      <c r="F175" s="26">
        <f ca="1">IFERROR(SUMIFS(Inputs!$H$2:$H$201,Inputs!$A$2:$A$201,$A175,Inputs!$B$2:$B$201,$B175)/SUMIFS(Inputs!$C$2:$C$201,Inputs!$A$2:$A$201,$A175,Inputs!$B$2:$B$201,$B175),0)</f>
        <v>0.0</v>
      </c>
      <c r="G175" s="27">
        <f ca="1">D175*SUMIFS(Inputs!$R$2:$R$23,Inputs!$P$2:$P$23,$B175)/SUMIFS(Inputs!$Q$2:$Q$23,Inputs!$P$2:$P$23,$B175)</f>
        <v>0.0</v>
      </c>
      <c r="H175" s="27">
        <f ca="1">MAX(G175,$H$1)</f>
        <v>0.0</v>
      </c>
      <c r="I175" s="27">
        <f ca="1">MIN(G175,$I$1)</f>
        <v>0.0</v>
      </c>
    </row>
    <row r="176" spans="1:9" x14ac:dyDescent="0.3">
      <c r="A176" s="24">
        <v>2019</v>
      </c>
      <c r="B176" s="24" cm="1" t="str">
        <f t="array" aca="1" ref="B176" ca="1">INDIRECT("'Params'!A" &amp; (QUOTIENT(ROW(A176)-4, 10) + 1))</f>
        <v>DCSPE</v>
      </c>
      <c r="C176" s="25">
        <f ca="1">SUMIFS(Inputs!$F$2:$F$201,Inputs!$A$2:$A$201,$A176,Inputs!$B$2:$B$201,$B176)+SUMIFS(Inputs!$D$2:$D$201,Inputs!$A$2:$A$201,$A176,Inputs!$B$2:$B$201,$B176)+SUMIFS(Inputs!$G$2:$G$201,Inputs!$A$2:$A$201,$A176,Inputs!$B$2:$B$201,$B176)*+SUMIFS(Inputs!$X$2:$X$201,Inputs!$W$2:$W$201,$A176,Inputs!$V$2:$V$201,$B176)</f>
        <v>0.0</v>
      </c>
      <c r="D176" s="26">
        <f ca="1">IFERROR(SUMIFS(Inputs!$G$2:$G$201,Inputs!$A$2:$A$201,$A176,Inputs!$B$2:$B$201,$B176)/SUMIFS(Inputs!$C$2:$C$201,Inputs!$A$2:$A$201,$A176,Inputs!$B$2:$B$201,$B176),0)</f>
        <v>0.0</v>
      </c>
      <c r="E176" s="25">
        <f ca="1">SUMIFS(Inputs!$F$2:$F$201,Inputs!$A$2:$A$201,$A176,Inputs!$B$2:$B$201,$B176)+SUMIFS(Inputs!$D$2:$D$201,Inputs!$A$2:$A$201,$A176,Inputs!$B$2:$B$201,$B176)+SUMIFS(Inputs!$H$2:$H$201,Inputs!$A$2:$A$201,$A176,Inputs!$B$2:$B$201,$B176)*+SUMIFS(Inputs!$X$2:$X$201,Inputs!$W$2:$W$201,$A176,Inputs!$V$2:$V$201,$B176)</f>
        <v>0.0</v>
      </c>
      <c r="F176" s="26">
        <f ca="1">IFERROR(SUMIFS(Inputs!$H$2:$H$201,Inputs!$A$2:$A$201,$A176,Inputs!$B$2:$B$201,$B176)/SUMIFS(Inputs!$C$2:$C$201,Inputs!$A$2:$A$201,$A176,Inputs!$B$2:$B$201,$B176),0)</f>
        <v>0.0</v>
      </c>
      <c r="G176" s="27">
        <f ca="1">D176*SUMIFS(Inputs!$R$2:$R$23,Inputs!$P$2:$P$23,$B176)/SUMIFS(Inputs!$Q$2:$Q$23,Inputs!$P$2:$P$23,$B176)</f>
        <v>0.0</v>
      </c>
      <c r="H176" s="27">
        <f ca="1">MAX(G176,$H$1)</f>
        <v>0.0</v>
      </c>
      <c r="I176" s="27">
        <f ca="1">MIN(G176,$I$1)</f>
        <v>0.0</v>
      </c>
    </row>
    <row r="177" spans="1:9" x14ac:dyDescent="0.3">
      <c r="A177" s="24">
        <v>2020</v>
      </c>
      <c r="B177" s="24" cm="1" t="str">
        <f t="array" aca="1" ref="B177" ca="1">INDIRECT("'Params'!A" &amp; (QUOTIENT(ROW(A177)-4, 10) + 1))</f>
        <v>DCSPE</v>
      </c>
      <c r="C177" s="25">
        <f ca="1">SUMIFS(Inputs!$F$2:$F$201,Inputs!$A$2:$A$201,$A177,Inputs!$B$2:$B$201,$B177)+SUMIFS(Inputs!$D$2:$D$201,Inputs!$A$2:$A$201,$A177,Inputs!$B$2:$B$201,$B177)+SUMIFS(Inputs!$G$2:$G$201,Inputs!$A$2:$A$201,$A177,Inputs!$B$2:$B$201,$B177)*+SUMIFS(Inputs!$X$2:$X$201,Inputs!$W$2:$W$201,$A177,Inputs!$V$2:$V$201,$B177)</f>
        <v>0.0</v>
      </c>
      <c r="D177" s="26">
        <f ca="1">IFERROR(SUMIFS(Inputs!$G$2:$G$201,Inputs!$A$2:$A$201,$A177,Inputs!$B$2:$B$201,$B177)/SUMIFS(Inputs!$C$2:$C$201,Inputs!$A$2:$A$201,$A177,Inputs!$B$2:$B$201,$B177),0)</f>
        <v>0.0</v>
      </c>
      <c r="E177" s="25">
        <f ca="1">SUMIFS(Inputs!$F$2:$F$201,Inputs!$A$2:$A$201,$A177,Inputs!$B$2:$B$201,$B177)+SUMIFS(Inputs!$D$2:$D$201,Inputs!$A$2:$A$201,$A177,Inputs!$B$2:$B$201,$B177)+SUMIFS(Inputs!$H$2:$H$201,Inputs!$A$2:$A$201,$A177,Inputs!$B$2:$B$201,$B177)*+SUMIFS(Inputs!$X$2:$X$201,Inputs!$W$2:$W$201,$A177,Inputs!$V$2:$V$201,$B177)</f>
        <v>0.0</v>
      </c>
      <c r="F177" s="26">
        <f ca="1">IFERROR(SUMIFS(Inputs!$H$2:$H$201,Inputs!$A$2:$A$201,$A177,Inputs!$B$2:$B$201,$B177)/SUMIFS(Inputs!$C$2:$C$201,Inputs!$A$2:$A$201,$A177,Inputs!$B$2:$B$201,$B177),0)</f>
        <v>0.0</v>
      </c>
      <c r="G177" s="27">
        <f ca="1">D177*SUMIFS(Inputs!$R$2:$R$23,Inputs!$P$2:$P$23,$B177)/SUMIFS(Inputs!$Q$2:$Q$23,Inputs!$P$2:$P$23,$B177)</f>
        <v>0.0</v>
      </c>
      <c r="H177" s="27">
        <f ca="1">MAX(G177,$H$1)</f>
        <v>0.0</v>
      </c>
      <c r="I177" s="27">
        <f ca="1">MIN(G177,$I$1)</f>
        <v>0.0</v>
      </c>
    </row>
    <row r="178" spans="1:9" x14ac:dyDescent="0.3">
      <c r="A178" s="24">
        <v>2021</v>
      </c>
      <c r="B178" s="24" cm="1" t="str">
        <f t="array" aca="1" ref="B178" ca="1">INDIRECT("'Params'!A" &amp; (QUOTIENT(ROW(A178)-4, 10) + 1))</f>
        <v>DCSPE</v>
      </c>
      <c r="C178" s="25">
        <f ca="1">SUMIFS(Inputs!$F$2:$F$201,Inputs!$A$2:$A$201,$A178,Inputs!$B$2:$B$201,$B178)+SUMIFS(Inputs!$D$2:$D$201,Inputs!$A$2:$A$201,$A178,Inputs!$B$2:$B$201,$B178)+SUMIFS(Inputs!$G$2:$G$201,Inputs!$A$2:$A$201,$A178,Inputs!$B$2:$B$201,$B178)*+SUMIFS(Inputs!$X$2:$X$201,Inputs!$W$2:$W$201,$A178,Inputs!$V$2:$V$201,$B178)</f>
        <v>0.0</v>
      </c>
      <c r="D178" s="26">
        <f ca="1">IFERROR(SUMIFS(Inputs!$G$2:$G$201,Inputs!$A$2:$A$201,$A178,Inputs!$B$2:$B$201,$B178)/SUMIFS(Inputs!$C$2:$C$201,Inputs!$A$2:$A$201,$A178,Inputs!$B$2:$B$201,$B178),0)</f>
        <v>0.0</v>
      </c>
      <c r="E178" s="25">
        <f ca="1">SUMIFS(Inputs!$F$2:$F$201,Inputs!$A$2:$A$201,$A178,Inputs!$B$2:$B$201,$B178)+SUMIFS(Inputs!$D$2:$D$201,Inputs!$A$2:$A$201,$A178,Inputs!$B$2:$B$201,$B178)+SUMIFS(Inputs!$H$2:$H$201,Inputs!$A$2:$A$201,$A178,Inputs!$B$2:$B$201,$B178)*+SUMIFS(Inputs!$X$2:$X$201,Inputs!$W$2:$W$201,$A178,Inputs!$V$2:$V$201,$B178)</f>
        <v>0.0</v>
      </c>
      <c r="F178" s="26">
        <f ca="1">IFERROR(SUMIFS(Inputs!$H$2:$H$201,Inputs!$A$2:$A$201,$A178,Inputs!$B$2:$B$201,$B178)/SUMIFS(Inputs!$C$2:$C$201,Inputs!$A$2:$A$201,$A178,Inputs!$B$2:$B$201,$B178),0)</f>
        <v>0.0</v>
      </c>
      <c r="G178" s="27">
        <f ca="1">D178*SUMIFS(Inputs!$R$2:$R$23,Inputs!$P$2:$P$23,$B178)/SUMIFS(Inputs!$Q$2:$Q$23,Inputs!$P$2:$P$23,$B178)</f>
        <v>0.0</v>
      </c>
      <c r="H178" s="27">
        <f ca="1">MAX(G178,$H$1)</f>
        <v>0.0</v>
      </c>
      <c r="I178" s="27">
        <f ca="1">MIN(G178,$I$1)</f>
        <v>0.0</v>
      </c>
    </row>
    <row r="179" spans="1:9" x14ac:dyDescent="0.3">
      <c r="A179" s="24">
        <v>2022</v>
      </c>
      <c r="B179" s="24" cm="1" t="str">
        <f t="array" aca="1" ref="B179" ca="1">INDIRECT("'Params'!A" &amp; (QUOTIENT(ROW(A179)-4, 10) + 1))</f>
        <v>DCSPE</v>
      </c>
      <c r="C179" s="25">
        <f ca="1">SUMIFS(Inputs!$F$2:$F$201,Inputs!$A$2:$A$201,$A179,Inputs!$B$2:$B$201,$B179)+SUMIFS(Inputs!$D$2:$D$201,Inputs!$A$2:$A$201,$A179,Inputs!$B$2:$B$201,$B179)+SUMIFS(Inputs!$G$2:$G$201,Inputs!$A$2:$A$201,$A179,Inputs!$B$2:$B$201,$B179)*+SUMIFS(Inputs!$X$2:$X$201,Inputs!$W$2:$W$201,$A179,Inputs!$V$2:$V$201,$B179)</f>
        <v>0.0</v>
      </c>
      <c r="D179" s="26">
        <f ca="1">IFERROR(SUMIFS(Inputs!$G$2:$G$201,Inputs!$A$2:$A$201,$A179,Inputs!$B$2:$B$201,$B179)/SUMIFS(Inputs!$C$2:$C$201,Inputs!$A$2:$A$201,$A179,Inputs!$B$2:$B$201,$B179),0)</f>
        <v>0.0</v>
      </c>
      <c r="E179" s="25">
        <f ca="1">SUMIFS(Inputs!$F$2:$F$201,Inputs!$A$2:$A$201,$A179,Inputs!$B$2:$B$201,$B179)+SUMIFS(Inputs!$D$2:$D$201,Inputs!$A$2:$A$201,$A179,Inputs!$B$2:$B$201,$B179)+SUMIFS(Inputs!$H$2:$H$201,Inputs!$A$2:$A$201,$A179,Inputs!$B$2:$B$201,$B179)*+SUMIFS(Inputs!$X$2:$X$201,Inputs!$W$2:$W$201,$A179,Inputs!$V$2:$V$201,$B179)</f>
        <v>0.0</v>
      </c>
      <c r="F179" s="26">
        <f ca="1">IFERROR(SUMIFS(Inputs!$H$2:$H$201,Inputs!$A$2:$A$201,$A179,Inputs!$B$2:$B$201,$B179)/SUMIFS(Inputs!$C$2:$C$201,Inputs!$A$2:$A$201,$A179,Inputs!$B$2:$B$201,$B179),0)</f>
        <v>0.0</v>
      </c>
      <c r="G179" s="27">
        <f ca="1">D179*SUMIFS(Inputs!$R$2:$R$23,Inputs!$P$2:$P$23,$B179)/SUMIFS(Inputs!$Q$2:$Q$23,Inputs!$P$2:$P$23,$B179)</f>
        <v>0.0</v>
      </c>
      <c r="H179" s="27">
        <f ca="1">MAX(G179,$H$1)</f>
        <v>0.0</v>
      </c>
      <c r="I179" s="27">
        <f ca="1">MIN(G179,$I$1)</f>
        <v>0.0</v>
      </c>
    </row>
    <row r="180" spans="1:9" x14ac:dyDescent="0.3">
      <c r="A180" s="24">
        <v>2023</v>
      </c>
      <c r="B180" s="24" cm="1" t="str">
        <f t="array" aca="1" ref="B180" ca="1">INDIRECT("'Params'!A" &amp; (QUOTIENT(ROW(A180)-4, 10) + 1))</f>
        <v>DCSPE</v>
      </c>
      <c r="C180" s="25">
        <f ca="1">SUMIFS(Inputs!$F$2:$F$201,Inputs!$A$2:$A$201,$A180,Inputs!$B$2:$B$201,$B180)+SUMIFS(Inputs!$D$2:$D$201,Inputs!$A$2:$A$201,$A180,Inputs!$B$2:$B$201,$B180)+SUMIFS(Inputs!$G$2:$G$201,Inputs!$A$2:$A$201,$A180,Inputs!$B$2:$B$201,$B180)*+SUMIFS(Inputs!$X$2:$X$201,Inputs!$W$2:$W$201,$A180,Inputs!$V$2:$V$201,$B180)</f>
        <v>0.0</v>
      </c>
      <c r="D180" s="26">
        <f ca="1">IFERROR(SUMIFS(Inputs!$G$2:$G$201,Inputs!$A$2:$A$201,$A180,Inputs!$B$2:$B$201,$B180)/SUMIFS(Inputs!$C$2:$C$201,Inputs!$A$2:$A$201,$A180,Inputs!$B$2:$B$201,$B180),0)</f>
        <v>0.0</v>
      </c>
      <c r="E180" s="25">
        <f ca="1">SUMIFS(Inputs!$F$2:$F$201,Inputs!$A$2:$A$201,$A180,Inputs!$B$2:$B$201,$B180)+SUMIFS(Inputs!$D$2:$D$201,Inputs!$A$2:$A$201,$A180,Inputs!$B$2:$B$201,$B180)+SUMIFS(Inputs!$H$2:$H$201,Inputs!$A$2:$A$201,$A180,Inputs!$B$2:$B$201,$B180)*+SUMIFS(Inputs!$X$2:$X$201,Inputs!$W$2:$W$201,$A180,Inputs!$V$2:$V$201,$B180)</f>
        <v>0.0</v>
      </c>
      <c r="F180" s="26">
        <f ca="1">IFERROR(SUMIFS(Inputs!$H$2:$H$201,Inputs!$A$2:$A$201,$A180,Inputs!$B$2:$B$201,$B180)/SUMIFS(Inputs!$C$2:$C$201,Inputs!$A$2:$A$201,$A180,Inputs!$B$2:$B$201,$B180),0)</f>
        <v>0.0</v>
      </c>
      <c r="G180" s="27">
        <f ca="1">D180*SUMIFS(Inputs!$R$2:$R$23,Inputs!$P$2:$P$23,$B180)/SUMIFS(Inputs!$Q$2:$Q$23,Inputs!$P$2:$P$23,$B180)</f>
        <v>0.0</v>
      </c>
      <c r="H180" s="27">
        <f ca="1">MAX(G180,$H$1)</f>
        <v>0.0</v>
      </c>
      <c r="I180" s="27">
        <f ca="1">MIN(G180,$I$1)</f>
        <v>0.0</v>
      </c>
    </row>
    <row r="181" spans="1:9" x14ac:dyDescent="0.3">
      <c r="A181" s="24">
        <v>2024</v>
      </c>
      <c r="B181" s="24" cm="1" t="str">
        <f t="array" aca="1" ref="B181" ca="1">INDIRECT("'Params'!A" &amp; (QUOTIENT(ROW(A181)-4, 10) + 1))</f>
        <v>DCSPE</v>
      </c>
      <c r="C181" s="25">
        <f ca="1">SUMIFS(Inputs!$F$2:$F$201,Inputs!$A$2:$A$201,$A181,Inputs!$B$2:$B$201,$B181)+SUMIFS(Inputs!$D$2:$D$201,Inputs!$A$2:$A$201,$A181,Inputs!$B$2:$B$201,$B181)+SUMIFS(Inputs!$G$2:$G$201,Inputs!$A$2:$A$201,$A181,Inputs!$B$2:$B$201,$B181)*+SUMIFS(Inputs!$X$2:$X$201,Inputs!$W$2:$W$201,$A181,Inputs!$V$2:$V$201,$B181)</f>
        <v>0.0</v>
      </c>
      <c r="D181" s="26">
        <f ca="1">IFERROR(SUMIFS(Inputs!$G$2:$G$201,Inputs!$A$2:$A$201,$A181,Inputs!$B$2:$B$201,$B181)/SUMIFS(Inputs!$C$2:$C$201,Inputs!$A$2:$A$201,$A181,Inputs!$B$2:$B$201,$B181),0)</f>
        <v>0.0</v>
      </c>
      <c r="E181" s="25">
        <f ca="1">SUMIFS(Inputs!$F$2:$F$201,Inputs!$A$2:$A$201,$A181,Inputs!$B$2:$B$201,$B181)+SUMIFS(Inputs!$D$2:$D$201,Inputs!$A$2:$A$201,$A181,Inputs!$B$2:$B$201,$B181)+SUMIFS(Inputs!$H$2:$H$201,Inputs!$A$2:$A$201,$A181,Inputs!$B$2:$B$201,$B181)*+SUMIFS(Inputs!$X$2:$X$201,Inputs!$W$2:$W$201,$A181,Inputs!$V$2:$V$201,$B181)</f>
        <v>0.0</v>
      </c>
      <c r="F181" s="26">
        <f ca="1">IFERROR(SUMIFS(Inputs!$H$2:$H$201,Inputs!$A$2:$A$201,$A181,Inputs!$B$2:$B$201,$B181)/SUMIFS(Inputs!$C$2:$C$201,Inputs!$A$2:$A$201,$A181,Inputs!$B$2:$B$201,$B181),0)</f>
        <v>0.0</v>
      </c>
      <c r="G181" s="27">
        <f ca="1">D181*SUMIFS(Inputs!$R$2:$R$23,Inputs!$P$2:$P$23,$B181)/SUMIFS(Inputs!$Q$2:$Q$23,Inputs!$P$2:$P$23,$B181)</f>
        <v>0.0</v>
      </c>
      <c r="H181" s="27">
        <f ca="1">MAX(G181,$H$1)</f>
        <v>0.0</v>
      </c>
      <c r="I181" s="27">
        <f ca="1">MIN(G181,$I$1)</f>
        <v>0.0</v>
      </c>
    </row>
    <row r="182" spans="1:9" x14ac:dyDescent="0.3">
      <c r="A182" s="24">
        <v>2025</v>
      </c>
      <c r="B182" s="24" cm="1" t="str">
        <f t="array" aca="1" ref="B182" ca="1">INDIRECT("'Params'!A" &amp; (QUOTIENT(ROW(A182)-4, 10) + 1))</f>
        <v>DCSPE</v>
      </c>
      <c r="C182" s="25">
        <f ca="1">SUMIFS(Inputs!$F$2:$F$201,Inputs!$A$2:$A$201,$A182,Inputs!$B$2:$B$201,$B182)+SUMIFS(Inputs!$D$2:$D$201,Inputs!$A$2:$A$201,$A182,Inputs!$B$2:$B$201,$B182)+SUMIFS(Inputs!$G$2:$G$201,Inputs!$A$2:$A$201,$A182,Inputs!$B$2:$B$201,$B182)*+SUMIFS(Inputs!$X$2:$X$201,Inputs!$W$2:$W$201,$A182,Inputs!$V$2:$V$201,$B182)</f>
        <v>0.0</v>
      </c>
      <c r="D182" s="26">
        <f ca="1">IFERROR(SUMIFS(Inputs!$G$2:$G$201,Inputs!$A$2:$A$201,$A182,Inputs!$B$2:$B$201,$B182)/SUMIFS(Inputs!$C$2:$C$201,Inputs!$A$2:$A$201,$A182,Inputs!$B$2:$B$201,$B182),0)</f>
        <v>0.0</v>
      </c>
      <c r="E182" s="25">
        <f ca="1">SUMIFS(Inputs!$F$2:$F$201,Inputs!$A$2:$A$201,$A182,Inputs!$B$2:$B$201,$B182)+SUMIFS(Inputs!$D$2:$D$201,Inputs!$A$2:$A$201,$A182,Inputs!$B$2:$B$201,$B182)+SUMIFS(Inputs!$H$2:$H$201,Inputs!$A$2:$A$201,$A182,Inputs!$B$2:$B$201,$B182)*+SUMIFS(Inputs!$X$2:$X$201,Inputs!$W$2:$W$201,$A182,Inputs!$V$2:$V$201,$B182)</f>
        <v>0.0</v>
      </c>
      <c r="F182" s="26">
        <f ca="1">IFERROR(SUMIFS(Inputs!$H$2:$H$201,Inputs!$A$2:$A$201,$A182,Inputs!$B$2:$B$201,$B182)/SUMIFS(Inputs!$C$2:$C$201,Inputs!$A$2:$A$201,$A182,Inputs!$B$2:$B$201,$B182),0)</f>
        <v>0.0</v>
      </c>
      <c r="G182" s="27">
        <f ca="1">D182*SUMIFS(Inputs!$R$2:$R$23,Inputs!$P$2:$P$23,$B182)/SUMIFS(Inputs!$Q$2:$Q$23,Inputs!$P$2:$P$23,$B182)</f>
        <v>0.0</v>
      </c>
      <c r="H182" s="27">
        <f ca="1">MAX(G182,$H$1)</f>
        <v>0.0</v>
      </c>
      <c r="I182" s="27">
        <f ca="1">MIN(G182,$I$1)</f>
        <v>0.0</v>
      </c>
    </row>
    <row r="183" spans="1:9" x14ac:dyDescent="0.3">
      <c r="A183" s="24">
        <v>2026</v>
      </c>
      <c r="B183" s="24" cm="1" t="str">
        <f t="array" aca="1" ref="B183" ca="1">INDIRECT("'Params'!A" &amp; (QUOTIENT(ROW(A183)-4, 10) + 1))</f>
        <v>DCSPE</v>
      </c>
      <c r="C183" s="25">
        <f ca="1">SUMIFS(Inputs!$F$2:$F$201,Inputs!$A$2:$A$201,$A183,Inputs!$B$2:$B$201,$B183)+SUMIFS(Inputs!$D$2:$D$201,Inputs!$A$2:$A$201,$A183,Inputs!$B$2:$B$201,$B183)+SUMIFS(Inputs!$G$2:$G$201,Inputs!$A$2:$A$201,$A183,Inputs!$B$2:$B$201,$B183)*+SUMIFS(Inputs!$X$2:$X$201,Inputs!$W$2:$W$201,$A183,Inputs!$V$2:$V$201,$B183)</f>
        <v>0.0</v>
      </c>
      <c r="D183" s="26">
        <f ca="1">IFERROR(SUMIFS(Inputs!$G$2:$G$201,Inputs!$A$2:$A$201,$A183,Inputs!$B$2:$B$201,$B183)/SUMIFS(Inputs!$C$2:$C$201,Inputs!$A$2:$A$201,$A183,Inputs!$B$2:$B$201,$B183),0)</f>
        <v>0.0</v>
      </c>
      <c r="E183" s="25">
        <f ca="1">SUMIFS(Inputs!$F$2:$F$201,Inputs!$A$2:$A$201,$A183,Inputs!$B$2:$B$201,$B183)+SUMIFS(Inputs!$D$2:$D$201,Inputs!$A$2:$A$201,$A183,Inputs!$B$2:$B$201,$B183)+SUMIFS(Inputs!$H$2:$H$201,Inputs!$A$2:$A$201,$A183,Inputs!$B$2:$B$201,$B183)*+SUMIFS(Inputs!$X$2:$X$201,Inputs!$W$2:$W$201,$A183,Inputs!$V$2:$V$201,$B183)</f>
        <v>0.0</v>
      </c>
      <c r="F183" s="26">
        <f ca="1">IFERROR(SUMIFS(Inputs!$H$2:$H$201,Inputs!$A$2:$A$201,$A183,Inputs!$B$2:$B$201,$B183)/SUMIFS(Inputs!$C$2:$C$201,Inputs!$A$2:$A$201,$A183,Inputs!$B$2:$B$201,$B183),0)</f>
        <v>0.0</v>
      </c>
      <c r="G183" s="27">
        <f ca="1">D183*SUMIFS(Inputs!$R$2:$R$23,Inputs!$P$2:$P$23,$B183)/SUMIFS(Inputs!$Q$2:$Q$23,Inputs!$P$2:$P$23,$B183)</f>
        <v>0.0</v>
      </c>
      <c r="H183" s="27">
        <f ca="1">MAX(G183,$H$1)</f>
        <v>0.0</v>
      </c>
      <c r="I183" s="27">
        <f ca="1">MIN(G183,$I$1)</f>
        <v>0.0</v>
      </c>
    </row>
    <row r="184" spans="1:9" x14ac:dyDescent="0.3">
      <c r="A184" s="24">
        <v>2017</v>
      </c>
      <c r="B184" s="24" cm="1" t="str">
        <f t="array" aca="1" ref="B184" ca="1">INDIRECT("'Params'!A" &amp; (QUOTIENT(ROW(A184)-4, 10) + 1))</f>
        <v>DCLIA</v>
      </c>
      <c r="C184" s="25">
        <f ca="1">SUMIFS(Inputs!$F$2:$F$201,Inputs!$A$2:$A$201,$A184,Inputs!$B$2:$B$201,$B184)+SUMIFS(Inputs!$D$2:$D$201,Inputs!$A$2:$A$201,$A184,Inputs!$B$2:$B$201,$B184)+SUMIFS(Inputs!$G$2:$G$201,Inputs!$A$2:$A$201,$A184,Inputs!$B$2:$B$201,$B184)*+SUMIFS(Inputs!$X$2:$X$201,Inputs!$W$2:$W$201,$A184,Inputs!$V$2:$V$201,$B184)</f>
        <v>2154204.8292590766</v>
      </c>
      <c r="D184" s="26">
        <f ca="1">IFERROR(SUMIFS(Inputs!$G$2:$G$201,Inputs!$A$2:$A$201,$A184,Inputs!$B$2:$B$201,$B184)/SUMIFS(Inputs!$C$2:$C$201,Inputs!$A$2:$A$201,$A184,Inputs!$B$2:$B$201,$B184),0)</f>
        <v>0.08259285451436901</v>
      </c>
      <c r="E184" s="25">
        <f ca="1">SUMIFS(Inputs!$F$2:$F$201,Inputs!$A$2:$A$201,$A184,Inputs!$B$2:$B$201,$B184)+SUMIFS(Inputs!$D$2:$D$201,Inputs!$A$2:$A$201,$A184,Inputs!$B$2:$B$201,$B184)+SUMIFS(Inputs!$H$2:$H$201,Inputs!$A$2:$A$201,$A184,Inputs!$B$2:$B$201,$B184)*+SUMIFS(Inputs!$X$2:$X$201,Inputs!$W$2:$W$201,$A184,Inputs!$V$2:$V$201,$B184)</f>
        <v>2247009.3797487617</v>
      </c>
      <c r="F184" s="26">
        <f ca="1">IFERROR(SUMIFS(Inputs!$H$2:$H$201,Inputs!$A$2:$A$201,$A184,Inputs!$B$2:$B$201,$B184)/SUMIFS(Inputs!$C$2:$C$201,Inputs!$A$2:$A$201,$A184,Inputs!$B$2:$B$201,$B184),0)</f>
        <v>0.09244391249315322</v>
      </c>
      <c r="G184" s="27">
        <f ca="1">D184*SUMIFS(Inputs!$R$2:$R$23,Inputs!$P$2:$P$23,$B184)/SUMIFS(Inputs!$Q$2:$Q$23,Inputs!$P$2:$P$23,$B184)</f>
        <v>0.016850955137214883</v>
      </c>
      <c r="H184" s="27">
        <f ca="1">MAX(G184,$H$1)</f>
        <v>0.016850955137214883</v>
      </c>
      <c r="I184" s="27">
        <f ca="1">MIN(G184,$I$1)</f>
        <v>0.016850955137214883</v>
      </c>
    </row>
    <row r="185" spans="1:9" x14ac:dyDescent="0.3">
      <c r="A185" s="24">
        <v>2018</v>
      </c>
      <c r="B185" s="24" cm="1" t="str">
        <f t="array" aca="1" ref="B185" ca="1">INDIRECT("'Params'!A" &amp; (QUOTIENT(ROW(A185)-4, 10) + 1))</f>
        <v>DCLIA</v>
      </c>
      <c r="C185" s="25">
        <f ca="1">SUMIFS(Inputs!$F$2:$F$201,Inputs!$A$2:$A$201,$A185,Inputs!$B$2:$B$201,$B185)+SUMIFS(Inputs!$D$2:$D$201,Inputs!$A$2:$A$201,$A185,Inputs!$B$2:$B$201,$B185)+SUMIFS(Inputs!$G$2:$G$201,Inputs!$A$2:$A$201,$A185,Inputs!$B$2:$B$201,$B185)*+SUMIFS(Inputs!$X$2:$X$201,Inputs!$W$2:$W$201,$A185,Inputs!$V$2:$V$201,$B185)</f>
        <v>32190.62263393352</v>
      </c>
      <c r="D185" s="26">
        <f ca="1">IFERROR(SUMIFS(Inputs!$G$2:$G$201,Inputs!$A$2:$A$201,$A185,Inputs!$B$2:$B$201,$B185)/SUMIFS(Inputs!$C$2:$C$201,Inputs!$A$2:$A$201,$A185,Inputs!$B$2:$B$201,$B185),0)</f>
        <v>0.07097057573759595</v>
      </c>
      <c r="E185" s="25">
        <f ca="1">SUMIFS(Inputs!$F$2:$F$201,Inputs!$A$2:$A$201,$A185,Inputs!$B$2:$B$201,$B185)+SUMIFS(Inputs!$D$2:$D$201,Inputs!$A$2:$A$201,$A185,Inputs!$B$2:$B$201,$B185)+SUMIFS(Inputs!$H$2:$H$201,Inputs!$A$2:$A$201,$A185,Inputs!$B$2:$B$201,$B185)*+SUMIFS(Inputs!$X$2:$X$201,Inputs!$W$2:$W$201,$A185,Inputs!$V$2:$V$201,$B185)</f>
        <v>36030.07934970634</v>
      </c>
      <c r="F185" s="26">
        <f ca="1">IFERROR(SUMIFS(Inputs!$H$2:$H$201,Inputs!$A$2:$A$201,$A185,Inputs!$B$2:$B$201,$B185)/SUMIFS(Inputs!$C$2:$C$201,Inputs!$A$2:$A$201,$A185,Inputs!$B$2:$B$201,$B185),0)</f>
        <v>0.07943541522630888</v>
      </c>
      <c r="G185" s="27">
        <f ca="1">D185*SUMIFS(Inputs!$R$2:$R$23,Inputs!$P$2:$P$23,$B185)/SUMIFS(Inputs!$Q$2:$Q$23,Inputs!$P$2:$P$23,$B185)</f>
        <v>0.014479727027820317</v>
      </c>
      <c r="H185" s="27">
        <f ca="1">MAX(G185,$H$1)</f>
        <v>0.014479727027820317</v>
      </c>
      <c r="I185" s="27">
        <f ca="1">MIN(G185,$I$1)</f>
        <v>0.014479727027820317</v>
      </c>
    </row>
    <row r="186" spans="1:9" x14ac:dyDescent="0.3">
      <c r="A186" s="24">
        <v>2019</v>
      </c>
      <c r="B186" s="24" cm="1" t="str">
        <f t="array" aca="1" ref="B186" ca="1">INDIRECT("'Params'!A" &amp; (QUOTIENT(ROW(A186)-4, 10) + 1))</f>
        <v>DCLIA</v>
      </c>
      <c r="C186" s="25">
        <f ca="1">SUMIFS(Inputs!$F$2:$F$201,Inputs!$A$2:$A$201,$A186,Inputs!$B$2:$B$201,$B186)+SUMIFS(Inputs!$D$2:$D$201,Inputs!$A$2:$A$201,$A186,Inputs!$B$2:$B$201,$B186)+SUMIFS(Inputs!$G$2:$G$201,Inputs!$A$2:$A$201,$A186,Inputs!$B$2:$B$201,$B186)*+SUMIFS(Inputs!$X$2:$X$201,Inputs!$W$2:$W$201,$A186,Inputs!$V$2:$V$201,$B186)</f>
        <v>2061.179296369792</v>
      </c>
      <c r="D186" s="26">
        <f ca="1">IFERROR(SUMIFS(Inputs!$G$2:$G$201,Inputs!$A$2:$A$201,$A186,Inputs!$B$2:$B$201,$B186)/SUMIFS(Inputs!$C$2:$C$201,Inputs!$A$2:$A$201,$A186,Inputs!$B$2:$B$201,$B186),0)</f>
        <v>0.017360102992461993</v>
      </c>
      <c r="E186" s="25">
        <f ca="1">SUMIFS(Inputs!$F$2:$F$201,Inputs!$A$2:$A$201,$A186,Inputs!$B$2:$B$201,$B186)+SUMIFS(Inputs!$D$2:$D$201,Inputs!$A$2:$A$201,$A186,Inputs!$B$2:$B$201,$B186)+SUMIFS(Inputs!$H$2:$H$201,Inputs!$A$2:$A$201,$A186,Inputs!$B$2:$B$201,$B186)*+SUMIFS(Inputs!$X$2:$X$201,Inputs!$W$2:$W$201,$A186,Inputs!$V$2:$V$201,$B186)</f>
        <v>2343.405795228062</v>
      </c>
      <c r="F186" s="26">
        <f ca="1">IFERROR(SUMIFS(Inputs!$H$2:$H$201,Inputs!$A$2:$A$201,$A186,Inputs!$B$2:$B$201,$B186)/SUMIFS(Inputs!$C$2:$C$201,Inputs!$A$2:$A$201,$A186,Inputs!$B$2:$B$201,$B186),0)</f>
        <v>0.019737131083133498</v>
      </c>
      <c r="G186" s="27">
        <f ca="1">D186*SUMIFS(Inputs!$R$2:$R$23,Inputs!$P$2:$P$23,$B186)/SUMIFS(Inputs!$Q$2:$Q$23,Inputs!$P$2:$P$23,$B186)</f>
        <v>0.0035418840821455503</v>
      </c>
      <c r="H186" s="27">
        <f ca="1">MAX(G186,$H$1)</f>
        <v>0.0035418840821455503</v>
      </c>
      <c r="I186" s="27">
        <f ca="1">MIN(G186,$I$1)</f>
        <v>0.0035418840821455503</v>
      </c>
    </row>
    <row r="187" spans="1:9" x14ac:dyDescent="0.3">
      <c r="A187" s="24">
        <v>2020</v>
      </c>
      <c r="B187" s="24" cm="1" t="str">
        <f t="array" aca="1" ref="B187" ca="1">INDIRECT("'Params'!A" &amp; (QUOTIENT(ROW(A187)-4, 10) + 1))</f>
        <v>DCLIA</v>
      </c>
      <c r="C187" s="25">
        <f ca="1">SUMIFS(Inputs!$F$2:$F$201,Inputs!$A$2:$A$201,$A187,Inputs!$B$2:$B$201,$B187)+SUMIFS(Inputs!$D$2:$D$201,Inputs!$A$2:$A$201,$A187,Inputs!$B$2:$B$201,$B187)+SUMIFS(Inputs!$G$2:$G$201,Inputs!$A$2:$A$201,$A187,Inputs!$B$2:$B$201,$B187)*+SUMIFS(Inputs!$X$2:$X$201,Inputs!$W$2:$W$201,$A187,Inputs!$V$2:$V$201,$B187)</f>
        <v>0.0</v>
      </c>
      <c r="D187" s="26">
        <f ca="1">IFERROR(SUMIFS(Inputs!$G$2:$G$201,Inputs!$A$2:$A$201,$A187,Inputs!$B$2:$B$201,$B187)/SUMIFS(Inputs!$C$2:$C$201,Inputs!$A$2:$A$201,$A187,Inputs!$B$2:$B$201,$B187),0)</f>
        <v>0.0</v>
      </c>
      <c r="E187" s="25">
        <f ca="1">SUMIFS(Inputs!$F$2:$F$201,Inputs!$A$2:$A$201,$A187,Inputs!$B$2:$B$201,$B187)+SUMIFS(Inputs!$D$2:$D$201,Inputs!$A$2:$A$201,$A187,Inputs!$B$2:$B$201,$B187)+SUMIFS(Inputs!$H$2:$H$201,Inputs!$A$2:$A$201,$A187,Inputs!$B$2:$B$201,$B187)*+SUMIFS(Inputs!$X$2:$X$201,Inputs!$W$2:$W$201,$A187,Inputs!$V$2:$V$201,$B187)</f>
        <v>0.0</v>
      </c>
      <c r="F187" s="26">
        <f ca="1">IFERROR(SUMIFS(Inputs!$H$2:$H$201,Inputs!$A$2:$A$201,$A187,Inputs!$B$2:$B$201,$B187)/SUMIFS(Inputs!$C$2:$C$201,Inputs!$A$2:$A$201,$A187,Inputs!$B$2:$B$201,$B187),0)</f>
        <v>0.0</v>
      </c>
      <c r="G187" s="27">
        <f ca="1">D187*SUMIFS(Inputs!$R$2:$R$23,Inputs!$P$2:$P$23,$B187)/SUMIFS(Inputs!$Q$2:$Q$23,Inputs!$P$2:$P$23,$B187)</f>
        <v>0.0</v>
      </c>
      <c r="H187" s="27">
        <f ca="1">MAX(G187,$H$1)</f>
        <v>0.0</v>
      </c>
      <c r="I187" s="27">
        <f ca="1">MIN(G187,$I$1)</f>
        <v>0.0</v>
      </c>
    </row>
    <row r="188" spans="1:9" x14ac:dyDescent="0.3">
      <c r="A188" s="24">
        <v>2021</v>
      </c>
      <c r="B188" s="24" cm="1" t="str">
        <f t="array" aca="1" ref="B188" ca="1">INDIRECT("'Params'!A" &amp; (QUOTIENT(ROW(A188)-4, 10) + 1))</f>
        <v>DCLIA</v>
      </c>
      <c r="C188" s="25">
        <f ca="1">SUMIFS(Inputs!$F$2:$F$201,Inputs!$A$2:$A$201,$A188,Inputs!$B$2:$B$201,$B188)+SUMIFS(Inputs!$D$2:$D$201,Inputs!$A$2:$A$201,$A188,Inputs!$B$2:$B$201,$B188)+SUMIFS(Inputs!$G$2:$G$201,Inputs!$A$2:$A$201,$A188,Inputs!$B$2:$B$201,$B188)*+SUMIFS(Inputs!$X$2:$X$201,Inputs!$W$2:$W$201,$A188,Inputs!$V$2:$V$201,$B188)</f>
        <v>0.0</v>
      </c>
      <c r="D188" s="26">
        <f ca="1">IFERROR(SUMIFS(Inputs!$G$2:$G$201,Inputs!$A$2:$A$201,$A188,Inputs!$B$2:$B$201,$B188)/SUMIFS(Inputs!$C$2:$C$201,Inputs!$A$2:$A$201,$A188,Inputs!$B$2:$B$201,$B188),0)</f>
        <v>0.0</v>
      </c>
      <c r="E188" s="25">
        <f ca="1">SUMIFS(Inputs!$F$2:$F$201,Inputs!$A$2:$A$201,$A188,Inputs!$B$2:$B$201,$B188)+SUMIFS(Inputs!$D$2:$D$201,Inputs!$A$2:$A$201,$A188,Inputs!$B$2:$B$201,$B188)+SUMIFS(Inputs!$H$2:$H$201,Inputs!$A$2:$A$201,$A188,Inputs!$B$2:$B$201,$B188)*+SUMIFS(Inputs!$X$2:$X$201,Inputs!$W$2:$W$201,$A188,Inputs!$V$2:$V$201,$B188)</f>
        <v>0.0</v>
      </c>
      <c r="F188" s="26">
        <f ca="1">IFERROR(SUMIFS(Inputs!$H$2:$H$201,Inputs!$A$2:$A$201,$A188,Inputs!$B$2:$B$201,$B188)/SUMIFS(Inputs!$C$2:$C$201,Inputs!$A$2:$A$201,$A188,Inputs!$B$2:$B$201,$B188),0)</f>
        <v>0.0</v>
      </c>
      <c r="G188" s="27">
        <f ca="1">D188*SUMIFS(Inputs!$R$2:$R$23,Inputs!$P$2:$P$23,$B188)/SUMIFS(Inputs!$Q$2:$Q$23,Inputs!$P$2:$P$23,$B188)</f>
        <v>0.0</v>
      </c>
      <c r="H188" s="27">
        <f ca="1">MAX(G188,$H$1)</f>
        <v>0.0</v>
      </c>
      <c r="I188" s="27">
        <f ca="1">MIN(G188,$I$1)</f>
        <v>0.0</v>
      </c>
    </row>
    <row r="189" spans="1:9" x14ac:dyDescent="0.3">
      <c r="A189" s="24">
        <v>2022</v>
      </c>
      <c r="B189" s="24" cm="1" t="str">
        <f t="array" aca="1" ref="B189" ca="1">INDIRECT("'Params'!A" &amp; (QUOTIENT(ROW(A189)-4, 10) + 1))</f>
        <v>DCLIA</v>
      </c>
      <c r="C189" s="25">
        <f ca="1">SUMIFS(Inputs!$F$2:$F$201,Inputs!$A$2:$A$201,$A189,Inputs!$B$2:$B$201,$B189)+SUMIFS(Inputs!$D$2:$D$201,Inputs!$A$2:$A$201,$A189,Inputs!$B$2:$B$201,$B189)+SUMIFS(Inputs!$G$2:$G$201,Inputs!$A$2:$A$201,$A189,Inputs!$B$2:$B$201,$B189)*+SUMIFS(Inputs!$X$2:$X$201,Inputs!$W$2:$W$201,$A189,Inputs!$V$2:$V$201,$B189)</f>
        <v>0.0</v>
      </c>
      <c r="D189" s="26">
        <f ca="1">IFERROR(SUMIFS(Inputs!$G$2:$G$201,Inputs!$A$2:$A$201,$A189,Inputs!$B$2:$B$201,$B189)/SUMIFS(Inputs!$C$2:$C$201,Inputs!$A$2:$A$201,$A189,Inputs!$B$2:$B$201,$B189),0)</f>
        <v>0.0</v>
      </c>
      <c r="E189" s="25">
        <f ca="1">SUMIFS(Inputs!$F$2:$F$201,Inputs!$A$2:$A$201,$A189,Inputs!$B$2:$B$201,$B189)+SUMIFS(Inputs!$D$2:$D$201,Inputs!$A$2:$A$201,$A189,Inputs!$B$2:$B$201,$B189)+SUMIFS(Inputs!$H$2:$H$201,Inputs!$A$2:$A$201,$A189,Inputs!$B$2:$B$201,$B189)*+SUMIFS(Inputs!$X$2:$X$201,Inputs!$W$2:$W$201,$A189,Inputs!$V$2:$V$201,$B189)</f>
        <v>0.0</v>
      </c>
      <c r="F189" s="26">
        <f ca="1">IFERROR(SUMIFS(Inputs!$H$2:$H$201,Inputs!$A$2:$A$201,$A189,Inputs!$B$2:$B$201,$B189)/SUMIFS(Inputs!$C$2:$C$201,Inputs!$A$2:$A$201,$A189,Inputs!$B$2:$B$201,$B189),0)</f>
        <v>0.0</v>
      </c>
      <c r="G189" s="27">
        <f ca="1">D189*SUMIFS(Inputs!$R$2:$R$23,Inputs!$P$2:$P$23,$B189)/SUMIFS(Inputs!$Q$2:$Q$23,Inputs!$P$2:$P$23,$B189)</f>
        <v>0.0</v>
      </c>
      <c r="H189" s="27">
        <f ca="1">MAX(G189,$H$1)</f>
        <v>0.0</v>
      </c>
      <c r="I189" s="27">
        <f ca="1">MIN(G189,$I$1)</f>
        <v>0.0</v>
      </c>
    </row>
    <row r="190" spans="1:9" x14ac:dyDescent="0.3">
      <c r="A190" s="24">
        <v>2023</v>
      </c>
      <c r="B190" s="24" cm="1" t="str">
        <f t="array" aca="1" ref="B190" ca="1">INDIRECT("'Params'!A" &amp; (QUOTIENT(ROW(A190)-4, 10) + 1))</f>
        <v>DCLIA</v>
      </c>
      <c r="C190" s="25">
        <f ca="1">SUMIFS(Inputs!$F$2:$F$201,Inputs!$A$2:$A$201,$A190,Inputs!$B$2:$B$201,$B190)+SUMIFS(Inputs!$D$2:$D$201,Inputs!$A$2:$A$201,$A190,Inputs!$B$2:$B$201,$B190)+SUMIFS(Inputs!$G$2:$G$201,Inputs!$A$2:$A$201,$A190,Inputs!$B$2:$B$201,$B190)*+SUMIFS(Inputs!$X$2:$X$201,Inputs!$W$2:$W$201,$A190,Inputs!$V$2:$V$201,$B190)</f>
        <v>0.0</v>
      </c>
      <c r="D190" s="26">
        <f ca="1">IFERROR(SUMIFS(Inputs!$G$2:$G$201,Inputs!$A$2:$A$201,$A190,Inputs!$B$2:$B$201,$B190)/SUMIFS(Inputs!$C$2:$C$201,Inputs!$A$2:$A$201,$A190,Inputs!$B$2:$B$201,$B190),0)</f>
        <v>0.0</v>
      </c>
      <c r="E190" s="25">
        <f ca="1">SUMIFS(Inputs!$F$2:$F$201,Inputs!$A$2:$A$201,$A190,Inputs!$B$2:$B$201,$B190)+SUMIFS(Inputs!$D$2:$D$201,Inputs!$A$2:$A$201,$A190,Inputs!$B$2:$B$201,$B190)+SUMIFS(Inputs!$H$2:$H$201,Inputs!$A$2:$A$201,$A190,Inputs!$B$2:$B$201,$B190)*+SUMIFS(Inputs!$X$2:$X$201,Inputs!$W$2:$W$201,$A190,Inputs!$V$2:$V$201,$B190)</f>
        <v>0.0</v>
      </c>
      <c r="F190" s="26">
        <f ca="1">IFERROR(SUMIFS(Inputs!$H$2:$H$201,Inputs!$A$2:$A$201,$A190,Inputs!$B$2:$B$201,$B190)/SUMIFS(Inputs!$C$2:$C$201,Inputs!$A$2:$A$201,$A190,Inputs!$B$2:$B$201,$B190),0)</f>
        <v>0.0</v>
      </c>
      <c r="G190" s="27">
        <f ca="1">D190*SUMIFS(Inputs!$R$2:$R$23,Inputs!$P$2:$P$23,$B190)/SUMIFS(Inputs!$Q$2:$Q$23,Inputs!$P$2:$P$23,$B190)</f>
        <v>0.0</v>
      </c>
      <c r="H190" s="27">
        <f ca="1">MAX(G190,$H$1)</f>
        <v>0.0</v>
      </c>
      <c r="I190" s="27">
        <f ca="1">MIN(G190,$I$1)</f>
        <v>0.0</v>
      </c>
    </row>
    <row r="191" spans="1:9" x14ac:dyDescent="0.3">
      <c r="A191" s="24">
        <v>2024</v>
      </c>
      <c r="B191" s="24" cm="1" t="str">
        <f t="array" aca="1" ref="B191" ca="1">INDIRECT("'Params'!A" &amp; (QUOTIENT(ROW(A191)-4, 10) + 1))</f>
        <v>DCLIA</v>
      </c>
      <c r="C191" s="25">
        <f ca="1">SUMIFS(Inputs!$F$2:$F$201,Inputs!$A$2:$A$201,$A191,Inputs!$B$2:$B$201,$B191)+SUMIFS(Inputs!$D$2:$D$201,Inputs!$A$2:$A$201,$A191,Inputs!$B$2:$B$201,$B191)+SUMIFS(Inputs!$G$2:$G$201,Inputs!$A$2:$A$201,$A191,Inputs!$B$2:$B$201,$B191)*+SUMIFS(Inputs!$X$2:$X$201,Inputs!$W$2:$W$201,$A191,Inputs!$V$2:$V$201,$B191)</f>
        <v>0.0</v>
      </c>
      <c r="D191" s="26">
        <f ca="1">IFERROR(SUMIFS(Inputs!$G$2:$G$201,Inputs!$A$2:$A$201,$A191,Inputs!$B$2:$B$201,$B191)/SUMIFS(Inputs!$C$2:$C$201,Inputs!$A$2:$A$201,$A191,Inputs!$B$2:$B$201,$B191),0)</f>
        <v>0.0</v>
      </c>
      <c r="E191" s="25">
        <f ca="1">SUMIFS(Inputs!$F$2:$F$201,Inputs!$A$2:$A$201,$A191,Inputs!$B$2:$B$201,$B191)+SUMIFS(Inputs!$D$2:$D$201,Inputs!$A$2:$A$201,$A191,Inputs!$B$2:$B$201,$B191)+SUMIFS(Inputs!$H$2:$H$201,Inputs!$A$2:$A$201,$A191,Inputs!$B$2:$B$201,$B191)*+SUMIFS(Inputs!$X$2:$X$201,Inputs!$W$2:$W$201,$A191,Inputs!$V$2:$V$201,$B191)</f>
        <v>0.0</v>
      </c>
      <c r="F191" s="26">
        <f ca="1">IFERROR(SUMIFS(Inputs!$H$2:$H$201,Inputs!$A$2:$A$201,$A191,Inputs!$B$2:$B$201,$B191)/SUMIFS(Inputs!$C$2:$C$201,Inputs!$A$2:$A$201,$A191,Inputs!$B$2:$B$201,$B191),0)</f>
        <v>0.0</v>
      </c>
      <c r="G191" s="27">
        <f ca="1">D191*SUMIFS(Inputs!$R$2:$R$23,Inputs!$P$2:$P$23,$B191)/SUMIFS(Inputs!$Q$2:$Q$23,Inputs!$P$2:$P$23,$B191)</f>
        <v>0.0</v>
      </c>
      <c r="H191" s="27">
        <f ca="1">MAX(G191,$H$1)</f>
        <v>0.0</v>
      </c>
      <c r="I191" s="27">
        <f ca="1">MIN(G191,$I$1)</f>
        <v>0.0</v>
      </c>
    </row>
    <row r="192" spans="1:9" x14ac:dyDescent="0.3">
      <c r="A192" s="24">
        <v>2025</v>
      </c>
      <c r="B192" s="24" cm="1" t="str">
        <f t="array" aca="1" ref="B192" ca="1">INDIRECT("'Params'!A" &amp; (QUOTIENT(ROW(A192)-4, 10) + 1))</f>
        <v>DCLIA</v>
      </c>
      <c r="C192" s="25">
        <f ca="1">SUMIFS(Inputs!$F$2:$F$201,Inputs!$A$2:$A$201,$A192,Inputs!$B$2:$B$201,$B192)+SUMIFS(Inputs!$D$2:$D$201,Inputs!$A$2:$A$201,$A192,Inputs!$B$2:$B$201,$B192)+SUMIFS(Inputs!$G$2:$G$201,Inputs!$A$2:$A$201,$A192,Inputs!$B$2:$B$201,$B192)*+SUMIFS(Inputs!$X$2:$X$201,Inputs!$W$2:$W$201,$A192,Inputs!$V$2:$V$201,$B192)</f>
        <v>0.0</v>
      </c>
      <c r="D192" s="26">
        <f ca="1">IFERROR(SUMIFS(Inputs!$G$2:$G$201,Inputs!$A$2:$A$201,$A192,Inputs!$B$2:$B$201,$B192)/SUMIFS(Inputs!$C$2:$C$201,Inputs!$A$2:$A$201,$A192,Inputs!$B$2:$B$201,$B192),0)</f>
        <v>0.0</v>
      </c>
      <c r="E192" s="25">
        <f ca="1">SUMIFS(Inputs!$F$2:$F$201,Inputs!$A$2:$A$201,$A192,Inputs!$B$2:$B$201,$B192)+SUMIFS(Inputs!$D$2:$D$201,Inputs!$A$2:$A$201,$A192,Inputs!$B$2:$B$201,$B192)+SUMIFS(Inputs!$H$2:$H$201,Inputs!$A$2:$A$201,$A192,Inputs!$B$2:$B$201,$B192)*+SUMIFS(Inputs!$X$2:$X$201,Inputs!$W$2:$W$201,$A192,Inputs!$V$2:$V$201,$B192)</f>
        <v>0.0</v>
      </c>
      <c r="F192" s="26">
        <f ca="1">IFERROR(SUMIFS(Inputs!$H$2:$H$201,Inputs!$A$2:$A$201,$A192,Inputs!$B$2:$B$201,$B192)/SUMIFS(Inputs!$C$2:$C$201,Inputs!$A$2:$A$201,$A192,Inputs!$B$2:$B$201,$B192),0)</f>
        <v>0.0</v>
      </c>
      <c r="G192" s="27">
        <f ca="1">D192*SUMIFS(Inputs!$R$2:$R$23,Inputs!$P$2:$P$23,$B192)/SUMIFS(Inputs!$Q$2:$Q$23,Inputs!$P$2:$P$23,$B192)</f>
        <v>0.0</v>
      </c>
      <c r="H192" s="27">
        <f ca="1">MAX(G192,$H$1)</f>
        <v>0.0</v>
      </c>
      <c r="I192" s="27">
        <f ca="1">MIN(G192,$I$1)</f>
        <v>0.0</v>
      </c>
    </row>
    <row r="193" spans="1:9" x14ac:dyDescent="0.3">
      <c r="A193" s="24">
        <v>2026</v>
      </c>
      <c r="B193" s="24" cm="1" t="str">
        <f t="array" aca="1" ref="B193" ca="1">INDIRECT("'Params'!A" &amp; (QUOTIENT(ROW(A193)-4, 10) + 1))</f>
        <v>DCLIA</v>
      </c>
      <c r="C193" s="25">
        <f ca="1">SUMIFS(Inputs!$F$2:$F$201,Inputs!$A$2:$A$201,$A193,Inputs!$B$2:$B$201,$B193)+SUMIFS(Inputs!$D$2:$D$201,Inputs!$A$2:$A$201,$A193,Inputs!$B$2:$B$201,$B193)+SUMIFS(Inputs!$G$2:$G$201,Inputs!$A$2:$A$201,$A193,Inputs!$B$2:$B$201,$B193)*+SUMIFS(Inputs!$X$2:$X$201,Inputs!$W$2:$W$201,$A193,Inputs!$V$2:$V$201,$B193)</f>
        <v>0.0</v>
      </c>
      <c r="D193" s="26">
        <f ca="1">IFERROR(SUMIFS(Inputs!$G$2:$G$201,Inputs!$A$2:$A$201,$A193,Inputs!$B$2:$B$201,$B193)/SUMIFS(Inputs!$C$2:$C$201,Inputs!$A$2:$A$201,$A193,Inputs!$B$2:$B$201,$B193),0)</f>
        <v>0.0</v>
      </c>
      <c r="E193" s="25">
        <f ca="1">SUMIFS(Inputs!$F$2:$F$201,Inputs!$A$2:$A$201,$A193,Inputs!$B$2:$B$201,$B193)+SUMIFS(Inputs!$D$2:$D$201,Inputs!$A$2:$A$201,$A193,Inputs!$B$2:$B$201,$B193)+SUMIFS(Inputs!$H$2:$H$201,Inputs!$A$2:$A$201,$A193,Inputs!$B$2:$B$201,$B193)*+SUMIFS(Inputs!$X$2:$X$201,Inputs!$W$2:$W$201,$A193,Inputs!$V$2:$V$201,$B193)</f>
        <v>0.0</v>
      </c>
      <c r="F193" s="26">
        <f ca="1">IFERROR(SUMIFS(Inputs!$H$2:$H$201,Inputs!$A$2:$A$201,$A193,Inputs!$B$2:$B$201,$B193)/SUMIFS(Inputs!$C$2:$C$201,Inputs!$A$2:$A$201,$A193,Inputs!$B$2:$B$201,$B193),0)</f>
        <v>0.0</v>
      </c>
      <c r="G193" s="27">
        <f ca="1">D193*SUMIFS(Inputs!$R$2:$R$23,Inputs!$P$2:$P$23,$B193)/SUMIFS(Inputs!$Q$2:$Q$23,Inputs!$P$2:$P$23,$B193)</f>
        <v>0.0</v>
      </c>
      <c r="H193" s="27">
        <f ca="1">MAX(G193,$H$1)</f>
        <v>0.0</v>
      </c>
      <c r="I193" s="27">
        <f ca="1">MIN(G193,$I$1)</f>
        <v>0.0</v>
      </c>
    </row>
    <row r="194" spans="1:9" x14ac:dyDescent="0.3">
      <c r="A194" s="24">
        <v>2017</v>
      </c>
      <c r="B194" s="24" cm="1" t="str">
        <f t="array" aca="1" ref="B194" ca="1">INDIRECT("'Params'!A" &amp; (QUOTIENT(ROW(A194)-4, 10) + 1))</f>
        <v>DCFRO</v>
      </c>
      <c r="C194" s="25">
        <f ca="1">SUMIFS(Inputs!$F$2:$F$201,Inputs!$A$2:$A$201,$A194,Inputs!$B$2:$B$201,$B194)+SUMIFS(Inputs!$D$2:$D$201,Inputs!$A$2:$A$201,$A194,Inputs!$B$2:$B$201,$B194)+SUMIFS(Inputs!$G$2:$G$201,Inputs!$A$2:$A$201,$A194,Inputs!$B$2:$B$201,$B194)*+SUMIFS(Inputs!$X$2:$X$201,Inputs!$W$2:$W$201,$A194,Inputs!$V$2:$V$201,$B194)</f>
        <v>0.0</v>
      </c>
      <c r="D194" s="26">
        <f ca="1">IFERROR(SUMIFS(Inputs!$G$2:$G$201,Inputs!$A$2:$A$201,$A194,Inputs!$B$2:$B$201,$B194)/SUMIFS(Inputs!$C$2:$C$201,Inputs!$A$2:$A$201,$A194,Inputs!$B$2:$B$201,$B194),0)</f>
        <v>0.0</v>
      </c>
      <c r="E194" s="25">
        <f ca="1">SUMIFS(Inputs!$F$2:$F$201,Inputs!$A$2:$A$201,$A194,Inputs!$B$2:$B$201,$B194)+SUMIFS(Inputs!$D$2:$D$201,Inputs!$A$2:$A$201,$A194,Inputs!$B$2:$B$201,$B194)+SUMIFS(Inputs!$H$2:$H$201,Inputs!$A$2:$A$201,$A194,Inputs!$B$2:$B$201,$B194)*+SUMIFS(Inputs!$X$2:$X$201,Inputs!$W$2:$W$201,$A194,Inputs!$V$2:$V$201,$B194)</f>
        <v>0.0</v>
      </c>
      <c r="F194" s="26">
        <f ca="1">IFERROR(SUMIFS(Inputs!$H$2:$H$201,Inputs!$A$2:$A$201,$A194,Inputs!$B$2:$B$201,$B194)/SUMIFS(Inputs!$C$2:$C$201,Inputs!$A$2:$A$201,$A194,Inputs!$B$2:$B$201,$B194),0)</f>
        <v>0.0</v>
      </c>
      <c r="G194" s="27">
        <f ca="1">D194*SUMIFS(Inputs!$R$2:$R$23,Inputs!$P$2:$P$23,$B194)/SUMIFS(Inputs!$Q$2:$Q$23,Inputs!$P$2:$P$23,$B194)</f>
        <v>0.0</v>
      </c>
      <c r="H194" s="27">
        <f ca="1">MAX(G194,$H$1)</f>
        <v>0.0</v>
      </c>
      <c r="I194" s="27">
        <f ca="1">MIN(G194,$I$1)</f>
        <v>0.0</v>
      </c>
    </row>
    <row r="195" spans="1:9" x14ac:dyDescent="0.3">
      <c r="A195" s="24">
        <v>2018</v>
      </c>
      <c r="B195" s="24" cm="1" t="str">
        <f t="array" aca="1" ref="B195" ca="1">INDIRECT("'Params'!A" &amp; (QUOTIENT(ROW(A195)-4, 10) + 1))</f>
        <v>DCFRO</v>
      </c>
      <c r="C195" s="25">
        <f ca="1">SUMIFS(Inputs!$F$2:$F$201,Inputs!$A$2:$A$201,$A195,Inputs!$B$2:$B$201,$B195)+SUMIFS(Inputs!$D$2:$D$201,Inputs!$A$2:$A$201,$A195,Inputs!$B$2:$B$201,$B195)+SUMIFS(Inputs!$G$2:$G$201,Inputs!$A$2:$A$201,$A195,Inputs!$B$2:$B$201,$B195)*+SUMIFS(Inputs!$X$2:$X$201,Inputs!$W$2:$W$201,$A195,Inputs!$V$2:$V$201,$B195)</f>
        <v>0.0</v>
      </c>
      <c r="D195" s="26">
        <f ca="1">IFERROR(SUMIFS(Inputs!$G$2:$G$201,Inputs!$A$2:$A$201,$A195,Inputs!$B$2:$B$201,$B195)/SUMIFS(Inputs!$C$2:$C$201,Inputs!$A$2:$A$201,$A195,Inputs!$B$2:$B$201,$B195),0)</f>
        <v>0.0</v>
      </c>
      <c r="E195" s="25">
        <f ca="1">SUMIFS(Inputs!$F$2:$F$201,Inputs!$A$2:$A$201,$A195,Inputs!$B$2:$B$201,$B195)+SUMIFS(Inputs!$D$2:$D$201,Inputs!$A$2:$A$201,$A195,Inputs!$B$2:$B$201,$B195)+SUMIFS(Inputs!$H$2:$H$201,Inputs!$A$2:$A$201,$A195,Inputs!$B$2:$B$201,$B195)*+SUMIFS(Inputs!$X$2:$X$201,Inputs!$W$2:$W$201,$A195,Inputs!$V$2:$V$201,$B195)</f>
        <v>0.0</v>
      </c>
      <c r="F195" s="26">
        <f ca="1">IFERROR(SUMIFS(Inputs!$H$2:$H$201,Inputs!$A$2:$A$201,$A195,Inputs!$B$2:$B$201,$B195)/SUMIFS(Inputs!$C$2:$C$201,Inputs!$A$2:$A$201,$A195,Inputs!$B$2:$B$201,$B195),0)</f>
        <v>0.0</v>
      </c>
      <c r="G195" s="27">
        <f ca="1">D195*SUMIFS(Inputs!$R$2:$R$23,Inputs!$P$2:$P$23,$B195)/SUMIFS(Inputs!$Q$2:$Q$23,Inputs!$P$2:$P$23,$B195)</f>
        <v>0.0</v>
      </c>
      <c r="H195" s="27">
        <f ca="1">MAX(G195,$H$1)</f>
        <v>0.0</v>
      </c>
      <c r="I195" s="27">
        <f ca="1">MIN(G195,$I$1)</f>
        <v>0.0</v>
      </c>
    </row>
    <row r="196" spans="1:9" x14ac:dyDescent="0.3">
      <c r="A196" s="24">
        <v>2019</v>
      </c>
      <c r="B196" s="24" cm="1" t="str">
        <f t="array" aca="1" ref="B196" ca="1">INDIRECT("'Params'!A" &amp; (QUOTIENT(ROW(A196)-4, 10) + 1))</f>
        <v>DCFRO</v>
      </c>
      <c r="C196" s="25">
        <f ca="1">SUMIFS(Inputs!$F$2:$F$201,Inputs!$A$2:$A$201,$A196,Inputs!$B$2:$B$201,$B196)+SUMIFS(Inputs!$D$2:$D$201,Inputs!$A$2:$A$201,$A196,Inputs!$B$2:$B$201,$B196)+SUMIFS(Inputs!$G$2:$G$201,Inputs!$A$2:$A$201,$A196,Inputs!$B$2:$B$201,$B196)*+SUMIFS(Inputs!$X$2:$X$201,Inputs!$W$2:$W$201,$A196,Inputs!$V$2:$V$201,$B196)</f>
        <v>0.0</v>
      </c>
      <c r="D196" s="26">
        <f ca="1">IFERROR(SUMIFS(Inputs!$G$2:$G$201,Inputs!$A$2:$A$201,$A196,Inputs!$B$2:$B$201,$B196)/SUMIFS(Inputs!$C$2:$C$201,Inputs!$A$2:$A$201,$A196,Inputs!$B$2:$B$201,$B196),0)</f>
        <v>0.0</v>
      </c>
      <c r="E196" s="25">
        <f ca="1">SUMIFS(Inputs!$F$2:$F$201,Inputs!$A$2:$A$201,$A196,Inputs!$B$2:$B$201,$B196)+SUMIFS(Inputs!$D$2:$D$201,Inputs!$A$2:$A$201,$A196,Inputs!$B$2:$B$201,$B196)+SUMIFS(Inputs!$H$2:$H$201,Inputs!$A$2:$A$201,$A196,Inputs!$B$2:$B$201,$B196)*+SUMIFS(Inputs!$X$2:$X$201,Inputs!$W$2:$W$201,$A196,Inputs!$V$2:$V$201,$B196)</f>
        <v>0.0</v>
      </c>
      <c r="F196" s="26">
        <f ca="1">IFERROR(SUMIFS(Inputs!$H$2:$H$201,Inputs!$A$2:$A$201,$A196,Inputs!$B$2:$B$201,$B196)/SUMIFS(Inputs!$C$2:$C$201,Inputs!$A$2:$A$201,$A196,Inputs!$B$2:$B$201,$B196),0)</f>
        <v>0.0</v>
      </c>
      <c r="G196" s="27">
        <f ca="1">D196*SUMIFS(Inputs!$R$2:$R$23,Inputs!$P$2:$P$23,$B196)/SUMIFS(Inputs!$Q$2:$Q$23,Inputs!$P$2:$P$23,$B196)</f>
        <v>0.0</v>
      </c>
      <c r="H196" s="27">
        <f ca="1">MAX(G196,$H$1)</f>
        <v>0.0</v>
      </c>
      <c r="I196" s="27">
        <f ca="1">MIN(G196,$I$1)</f>
        <v>0.0</v>
      </c>
    </row>
    <row r="197" spans="1:9" x14ac:dyDescent="0.3">
      <c r="A197" s="24">
        <v>2020</v>
      </c>
      <c r="B197" s="24" cm="1" t="str">
        <f t="array" aca="1" ref="B197" ca="1">INDIRECT("'Params'!A" &amp; (QUOTIENT(ROW(A197)-4, 10) + 1))</f>
        <v>DCFRO</v>
      </c>
      <c r="C197" s="25">
        <f ca="1">SUMIFS(Inputs!$F$2:$F$201,Inputs!$A$2:$A$201,$A197,Inputs!$B$2:$B$201,$B197)+SUMIFS(Inputs!$D$2:$D$201,Inputs!$A$2:$A$201,$A197,Inputs!$B$2:$B$201,$B197)+SUMIFS(Inputs!$G$2:$G$201,Inputs!$A$2:$A$201,$A197,Inputs!$B$2:$B$201,$B197)*+SUMIFS(Inputs!$X$2:$X$201,Inputs!$W$2:$W$201,$A197,Inputs!$V$2:$V$201,$B197)</f>
        <v>0.0</v>
      </c>
      <c r="D197" s="26">
        <f ca="1">IFERROR(SUMIFS(Inputs!$G$2:$G$201,Inputs!$A$2:$A$201,$A197,Inputs!$B$2:$B$201,$B197)/SUMIFS(Inputs!$C$2:$C$201,Inputs!$A$2:$A$201,$A197,Inputs!$B$2:$B$201,$B197),0)</f>
        <v>0.0</v>
      </c>
      <c r="E197" s="25">
        <f ca="1">SUMIFS(Inputs!$F$2:$F$201,Inputs!$A$2:$A$201,$A197,Inputs!$B$2:$B$201,$B197)+SUMIFS(Inputs!$D$2:$D$201,Inputs!$A$2:$A$201,$A197,Inputs!$B$2:$B$201,$B197)+SUMIFS(Inputs!$H$2:$H$201,Inputs!$A$2:$A$201,$A197,Inputs!$B$2:$B$201,$B197)*+SUMIFS(Inputs!$X$2:$X$201,Inputs!$W$2:$W$201,$A197,Inputs!$V$2:$V$201,$B197)</f>
        <v>0.0</v>
      </c>
      <c r="F197" s="26">
        <f ca="1">IFERROR(SUMIFS(Inputs!$H$2:$H$201,Inputs!$A$2:$A$201,$A197,Inputs!$B$2:$B$201,$B197)/SUMIFS(Inputs!$C$2:$C$201,Inputs!$A$2:$A$201,$A197,Inputs!$B$2:$B$201,$B197),0)</f>
        <v>0.0</v>
      </c>
      <c r="G197" s="27">
        <f ca="1">D197*SUMIFS(Inputs!$R$2:$R$23,Inputs!$P$2:$P$23,$B197)/SUMIFS(Inputs!$Q$2:$Q$23,Inputs!$P$2:$P$23,$B197)</f>
        <v>0.0</v>
      </c>
      <c r="H197" s="27">
        <f ca="1">MAX(G197,$H$1)</f>
        <v>0.0</v>
      </c>
      <c r="I197" s="27">
        <f ca="1">MIN(G197,$I$1)</f>
        <v>0.0</v>
      </c>
    </row>
    <row r="198" spans="1:9" x14ac:dyDescent="0.3">
      <c r="A198" s="24">
        <v>2021</v>
      </c>
      <c r="B198" s="24" cm="1" t="str">
        <f t="array" aca="1" ref="B198" ca="1">INDIRECT("'Params'!A" &amp; (QUOTIENT(ROW(A198)-4, 10) + 1))</f>
        <v>DCFRO</v>
      </c>
      <c r="C198" s="25">
        <f ca="1">SUMIFS(Inputs!$F$2:$F$201,Inputs!$A$2:$A$201,$A198,Inputs!$B$2:$B$201,$B198)+SUMIFS(Inputs!$D$2:$D$201,Inputs!$A$2:$A$201,$A198,Inputs!$B$2:$B$201,$B198)+SUMIFS(Inputs!$G$2:$G$201,Inputs!$A$2:$A$201,$A198,Inputs!$B$2:$B$201,$B198)*+SUMIFS(Inputs!$X$2:$X$201,Inputs!$W$2:$W$201,$A198,Inputs!$V$2:$V$201,$B198)</f>
        <v>0.0</v>
      </c>
      <c r="D198" s="26">
        <f ca="1">IFERROR(SUMIFS(Inputs!$G$2:$G$201,Inputs!$A$2:$A$201,$A198,Inputs!$B$2:$B$201,$B198)/SUMIFS(Inputs!$C$2:$C$201,Inputs!$A$2:$A$201,$A198,Inputs!$B$2:$B$201,$B198),0)</f>
        <v>0.0</v>
      </c>
      <c r="E198" s="25">
        <f ca="1">SUMIFS(Inputs!$F$2:$F$201,Inputs!$A$2:$A$201,$A198,Inputs!$B$2:$B$201,$B198)+SUMIFS(Inputs!$D$2:$D$201,Inputs!$A$2:$A$201,$A198,Inputs!$B$2:$B$201,$B198)+SUMIFS(Inputs!$H$2:$H$201,Inputs!$A$2:$A$201,$A198,Inputs!$B$2:$B$201,$B198)*+SUMIFS(Inputs!$X$2:$X$201,Inputs!$W$2:$W$201,$A198,Inputs!$V$2:$V$201,$B198)</f>
        <v>0.0</v>
      </c>
      <c r="F198" s="26">
        <f ca="1">IFERROR(SUMIFS(Inputs!$H$2:$H$201,Inputs!$A$2:$A$201,$A198,Inputs!$B$2:$B$201,$B198)/SUMIFS(Inputs!$C$2:$C$201,Inputs!$A$2:$A$201,$A198,Inputs!$B$2:$B$201,$B198),0)</f>
        <v>0.0</v>
      </c>
      <c r="G198" s="27">
        <f ca="1">D198*SUMIFS(Inputs!$R$2:$R$23,Inputs!$P$2:$P$23,$B198)/SUMIFS(Inputs!$Q$2:$Q$23,Inputs!$P$2:$P$23,$B198)</f>
        <v>0.0</v>
      </c>
      <c r="H198" s="27">
        <f ca="1">MAX(G198,$H$1)</f>
        <v>0.0</v>
      </c>
      <c r="I198" s="27">
        <f ca="1">MIN(G198,$I$1)</f>
        <v>0.0</v>
      </c>
    </row>
    <row r="199" spans="1:9" x14ac:dyDescent="0.3">
      <c r="A199" s="24">
        <v>2022</v>
      </c>
      <c r="B199" s="24" cm="1" t="str">
        <f t="array" aca="1" ref="B199" ca="1">INDIRECT("'Params'!A" &amp; (QUOTIENT(ROW(A199)-4, 10) + 1))</f>
        <v>DCFRO</v>
      </c>
      <c r="C199" s="25">
        <f ca="1">SUMIFS(Inputs!$F$2:$F$201,Inputs!$A$2:$A$201,$A199,Inputs!$B$2:$B$201,$B199)+SUMIFS(Inputs!$D$2:$D$201,Inputs!$A$2:$A$201,$A199,Inputs!$B$2:$B$201,$B199)+SUMIFS(Inputs!$G$2:$G$201,Inputs!$A$2:$A$201,$A199,Inputs!$B$2:$B$201,$B199)*+SUMIFS(Inputs!$X$2:$X$201,Inputs!$W$2:$W$201,$A199,Inputs!$V$2:$V$201,$B199)</f>
        <v>0.0</v>
      </c>
      <c r="D199" s="26">
        <f ca="1">IFERROR(SUMIFS(Inputs!$G$2:$G$201,Inputs!$A$2:$A$201,$A199,Inputs!$B$2:$B$201,$B199)/SUMIFS(Inputs!$C$2:$C$201,Inputs!$A$2:$A$201,$A199,Inputs!$B$2:$B$201,$B199),0)</f>
        <v>0.0</v>
      </c>
      <c r="E199" s="25">
        <f ca="1">SUMIFS(Inputs!$F$2:$F$201,Inputs!$A$2:$A$201,$A199,Inputs!$B$2:$B$201,$B199)+SUMIFS(Inputs!$D$2:$D$201,Inputs!$A$2:$A$201,$A199,Inputs!$B$2:$B$201,$B199)+SUMIFS(Inputs!$H$2:$H$201,Inputs!$A$2:$A$201,$A199,Inputs!$B$2:$B$201,$B199)*+SUMIFS(Inputs!$X$2:$X$201,Inputs!$W$2:$W$201,$A199,Inputs!$V$2:$V$201,$B199)</f>
        <v>0.0</v>
      </c>
      <c r="F199" s="26">
        <f ca="1">IFERROR(SUMIFS(Inputs!$H$2:$H$201,Inputs!$A$2:$A$201,$A199,Inputs!$B$2:$B$201,$B199)/SUMIFS(Inputs!$C$2:$C$201,Inputs!$A$2:$A$201,$A199,Inputs!$B$2:$B$201,$B199),0)</f>
        <v>0.0</v>
      </c>
      <c r="G199" s="27">
        <f ca="1">D199*SUMIFS(Inputs!$R$2:$R$23,Inputs!$P$2:$P$23,$B199)/SUMIFS(Inputs!$Q$2:$Q$23,Inputs!$P$2:$P$23,$B199)</f>
        <v>0.0</v>
      </c>
      <c r="H199" s="27">
        <f ca="1">MAX(G199,$H$1)</f>
        <v>0.0</v>
      </c>
      <c r="I199" s="27">
        <f ca="1">MIN(G199,$I$1)</f>
        <v>0.0</v>
      </c>
    </row>
    <row r="200" spans="1:9" x14ac:dyDescent="0.3">
      <c r="A200" s="24">
        <v>2023</v>
      </c>
      <c r="B200" s="24" cm="1" t="str">
        <f t="array" aca="1" ref="B200" ca="1">INDIRECT("'Params'!A" &amp; (QUOTIENT(ROW(A200)-4, 10) + 1))</f>
        <v>DCFRO</v>
      </c>
      <c r="C200" s="25">
        <f ca="1">SUMIFS(Inputs!$F$2:$F$201,Inputs!$A$2:$A$201,$A200,Inputs!$B$2:$B$201,$B200)+SUMIFS(Inputs!$D$2:$D$201,Inputs!$A$2:$A$201,$A200,Inputs!$B$2:$B$201,$B200)+SUMIFS(Inputs!$G$2:$G$201,Inputs!$A$2:$A$201,$A200,Inputs!$B$2:$B$201,$B200)*+SUMIFS(Inputs!$X$2:$X$201,Inputs!$W$2:$W$201,$A200,Inputs!$V$2:$V$201,$B200)</f>
        <v>0.0</v>
      </c>
      <c r="D200" s="26">
        <f ca="1">IFERROR(SUMIFS(Inputs!$G$2:$G$201,Inputs!$A$2:$A$201,$A200,Inputs!$B$2:$B$201,$B200)/SUMIFS(Inputs!$C$2:$C$201,Inputs!$A$2:$A$201,$A200,Inputs!$B$2:$B$201,$B200),0)</f>
        <v>0.0</v>
      </c>
      <c r="E200" s="25">
        <f ca="1">SUMIFS(Inputs!$F$2:$F$201,Inputs!$A$2:$A$201,$A200,Inputs!$B$2:$B$201,$B200)+SUMIFS(Inputs!$D$2:$D$201,Inputs!$A$2:$A$201,$A200,Inputs!$B$2:$B$201,$B200)+SUMIFS(Inputs!$H$2:$H$201,Inputs!$A$2:$A$201,$A200,Inputs!$B$2:$B$201,$B200)*+SUMIFS(Inputs!$X$2:$X$201,Inputs!$W$2:$W$201,$A200,Inputs!$V$2:$V$201,$B200)</f>
        <v>0.0</v>
      </c>
      <c r="F200" s="26">
        <f ca="1">IFERROR(SUMIFS(Inputs!$H$2:$H$201,Inputs!$A$2:$A$201,$A200,Inputs!$B$2:$B$201,$B200)/SUMIFS(Inputs!$C$2:$C$201,Inputs!$A$2:$A$201,$A200,Inputs!$B$2:$B$201,$B200),0)</f>
        <v>0.0</v>
      </c>
      <c r="G200" s="27">
        <f ca="1">D200*SUMIFS(Inputs!$R$2:$R$23,Inputs!$P$2:$P$23,$B200)/SUMIFS(Inputs!$Q$2:$Q$23,Inputs!$P$2:$P$23,$B200)</f>
        <v>0.0</v>
      </c>
      <c r="H200" s="27">
        <f ca="1">MAX(G200,$H$1)</f>
        <v>0.0</v>
      </c>
      <c r="I200" s="27">
        <f ca="1">MIN(G200,$I$1)</f>
        <v>0.0</v>
      </c>
    </row>
    <row r="201" spans="1:9" x14ac:dyDescent="0.3">
      <c r="A201" s="24">
        <v>2024</v>
      </c>
      <c r="B201" s="24" cm="1" t="str">
        <f t="array" aca="1" ref="B201" ca="1">INDIRECT("'Params'!A" &amp; (QUOTIENT(ROW(A201)-4, 10) + 1))</f>
        <v>DCFRO</v>
      </c>
      <c r="C201" s="25">
        <f ca="1">SUMIFS(Inputs!$F$2:$F$201,Inputs!$A$2:$A$201,$A201,Inputs!$B$2:$B$201,$B201)+SUMIFS(Inputs!$D$2:$D$201,Inputs!$A$2:$A$201,$A201,Inputs!$B$2:$B$201,$B201)+SUMIFS(Inputs!$G$2:$G$201,Inputs!$A$2:$A$201,$A201,Inputs!$B$2:$B$201,$B201)*+SUMIFS(Inputs!$X$2:$X$201,Inputs!$W$2:$W$201,$A201,Inputs!$V$2:$V$201,$B201)</f>
        <v>0.0</v>
      </c>
      <c r="D201" s="26">
        <f ca="1">IFERROR(SUMIFS(Inputs!$G$2:$G$201,Inputs!$A$2:$A$201,$A201,Inputs!$B$2:$B$201,$B201)/SUMIFS(Inputs!$C$2:$C$201,Inputs!$A$2:$A$201,$A201,Inputs!$B$2:$B$201,$B201),0)</f>
        <v>0.0</v>
      </c>
      <c r="E201" s="25">
        <f ca="1">SUMIFS(Inputs!$F$2:$F$201,Inputs!$A$2:$A$201,$A201,Inputs!$B$2:$B$201,$B201)+SUMIFS(Inputs!$D$2:$D$201,Inputs!$A$2:$A$201,$A201,Inputs!$B$2:$B$201,$B201)+SUMIFS(Inputs!$H$2:$H$201,Inputs!$A$2:$A$201,$A201,Inputs!$B$2:$B$201,$B201)*+SUMIFS(Inputs!$X$2:$X$201,Inputs!$W$2:$W$201,$A201,Inputs!$V$2:$V$201,$B201)</f>
        <v>0.0</v>
      </c>
      <c r="F201" s="26">
        <f ca="1">IFERROR(SUMIFS(Inputs!$H$2:$H$201,Inputs!$A$2:$A$201,$A201,Inputs!$B$2:$B$201,$B201)/SUMIFS(Inputs!$C$2:$C$201,Inputs!$A$2:$A$201,$A201,Inputs!$B$2:$B$201,$B201),0)</f>
        <v>0.0</v>
      </c>
      <c r="G201" s="27">
        <f ca="1">D201*SUMIFS(Inputs!$R$2:$R$23,Inputs!$P$2:$P$23,$B201)/SUMIFS(Inputs!$Q$2:$Q$23,Inputs!$P$2:$P$23,$B201)</f>
        <v>0.0</v>
      </c>
      <c r="H201" s="27">
        <f ca="1">MAX(G201,$H$1)</f>
        <v>0.0</v>
      </c>
      <c r="I201" s="27">
        <f ca="1">MIN(G201,$I$1)</f>
        <v>0.0</v>
      </c>
    </row>
    <row r="202" spans="1:9" x14ac:dyDescent="0.3">
      <c r="A202" s="24">
        <v>2025</v>
      </c>
      <c r="B202" s="24" cm="1" t="str">
        <f t="array" aca="1" ref="B202" ca="1">INDIRECT("'Params'!A" &amp; (QUOTIENT(ROW(A202)-4, 10) + 1))</f>
        <v>DCFRO</v>
      </c>
      <c r="C202" s="25">
        <f ca="1">SUMIFS(Inputs!$F$2:$F$201,Inputs!$A$2:$A$201,$A202,Inputs!$B$2:$B$201,$B202)+SUMIFS(Inputs!$D$2:$D$201,Inputs!$A$2:$A$201,$A202,Inputs!$B$2:$B$201,$B202)+SUMIFS(Inputs!$G$2:$G$201,Inputs!$A$2:$A$201,$A202,Inputs!$B$2:$B$201,$B202)*+SUMIFS(Inputs!$X$2:$X$201,Inputs!$W$2:$W$201,$A202,Inputs!$V$2:$V$201,$B202)</f>
        <v>0.0</v>
      </c>
      <c r="D202" s="26">
        <f ca="1">IFERROR(SUMIFS(Inputs!$G$2:$G$201,Inputs!$A$2:$A$201,$A202,Inputs!$B$2:$B$201,$B202)/SUMIFS(Inputs!$C$2:$C$201,Inputs!$A$2:$A$201,$A202,Inputs!$B$2:$B$201,$B202),0)</f>
        <v>0.0</v>
      </c>
      <c r="E202" s="25">
        <f ca="1">SUMIFS(Inputs!$F$2:$F$201,Inputs!$A$2:$A$201,$A202,Inputs!$B$2:$B$201,$B202)+SUMIFS(Inputs!$D$2:$D$201,Inputs!$A$2:$A$201,$A202,Inputs!$B$2:$B$201,$B202)+SUMIFS(Inputs!$H$2:$H$201,Inputs!$A$2:$A$201,$A202,Inputs!$B$2:$B$201,$B202)*+SUMIFS(Inputs!$X$2:$X$201,Inputs!$W$2:$W$201,$A202,Inputs!$V$2:$V$201,$B202)</f>
        <v>0.0</v>
      </c>
      <c r="F202" s="26">
        <f ca="1">IFERROR(SUMIFS(Inputs!$H$2:$H$201,Inputs!$A$2:$A$201,$A202,Inputs!$B$2:$B$201,$B202)/SUMIFS(Inputs!$C$2:$C$201,Inputs!$A$2:$A$201,$A202,Inputs!$B$2:$B$201,$B202),0)</f>
        <v>0.0</v>
      </c>
      <c r="G202" s="27">
        <f ca="1">D202*SUMIFS(Inputs!$R$2:$R$23,Inputs!$P$2:$P$23,$B202)/SUMIFS(Inputs!$Q$2:$Q$23,Inputs!$P$2:$P$23,$B202)</f>
        <v>0.0</v>
      </c>
      <c r="H202" s="27">
        <f ca="1">MAX(G202,$H$1)</f>
        <v>0.0</v>
      </c>
      <c r="I202" s="27">
        <f ca="1">MIN(G202,$I$1)</f>
        <v>0.0</v>
      </c>
    </row>
    <row r="203" spans="1:9" x14ac:dyDescent="0.3">
      <c r="A203" s="24">
        <v>2026</v>
      </c>
      <c r="B203" s="24" cm="1" t="str">
        <f t="array" aca="1" ref="B203" ca="1">INDIRECT("'Params'!A" &amp; (QUOTIENT(ROW(A203)-4, 10) + 1))</f>
        <v>DCFRO</v>
      </c>
      <c r="C203" s="25">
        <f ca="1">SUMIFS(Inputs!$F$2:$F$201,Inputs!$A$2:$A$201,$A203,Inputs!$B$2:$B$201,$B203)+SUMIFS(Inputs!$D$2:$D$201,Inputs!$A$2:$A$201,$A203,Inputs!$B$2:$B$201,$B203)+SUMIFS(Inputs!$G$2:$G$201,Inputs!$A$2:$A$201,$A203,Inputs!$B$2:$B$201,$B203)*+SUMIFS(Inputs!$X$2:$X$201,Inputs!$W$2:$W$201,$A203,Inputs!$V$2:$V$201,$B203)</f>
        <v>0.0</v>
      </c>
      <c r="D203" s="26">
        <f ca="1">IFERROR(SUMIFS(Inputs!$G$2:$G$201,Inputs!$A$2:$A$201,$A203,Inputs!$B$2:$B$201,$B203)/SUMIFS(Inputs!$C$2:$C$201,Inputs!$A$2:$A$201,$A203,Inputs!$B$2:$B$201,$B203),0)</f>
        <v>0.0</v>
      </c>
      <c r="E203" s="25">
        <f ca="1">SUMIFS(Inputs!$F$2:$F$201,Inputs!$A$2:$A$201,$A203,Inputs!$B$2:$B$201,$B203)+SUMIFS(Inputs!$D$2:$D$201,Inputs!$A$2:$A$201,$A203,Inputs!$B$2:$B$201,$B203)+SUMIFS(Inputs!$H$2:$H$201,Inputs!$A$2:$A$201,$A203,Inputs!$B$2:$B$201,$B203)*+SUMIFS(Inputs!$X$2:$X$201,Inputs!$W$2:$W$201,$A203,Inputs!$V$2:$V$201,$B203)</f>
        <v>0.0</v>
      </c>
      <c r="F203" s="26">
        <f ca="1">IFERROR(SUMIFS(Inputs!$H$2:$H$201,Inputs!$A$2:$A$201,$A203,Inputs!$B$2:$B$201,$B203)/SUMIFS(Inputs!$C$2:$C$201,Inputs!$A$2:$A$201,$A203,Inputs!$B$2:$B$201,$B203),0)</f>
        <v>0.0</v>
      </c>
      <c r="G203" s="27">
        <f ca="1">D203*SUMIFS(Inputs!$R$2:$R$23,Inputs!$P$2:$P$23,$B203)/SUMIFS(Inputs!$Q$2:$Q$23,Inputs!$P$2:$P$23,$B203)</f>
        <v>0.0</v>
      </c>
      <c r="H203" s="27">
        <f ca="1">MAX(G203,$H$1)</f>
        <v>0.0</v>
      </c>
      <c r="I203" s="27">
        <f ca="1">MIN(G203,$I$1)</f>
        <v>0.0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D08594A7E6C24B8E75BE3AAEEF8245" ma:contentTypeVersion="17" ma:contentTypeDescription="Create a new document." ma:contentTypeScope="" ma:versionID="c3b4f2a678d8ac56947e366859e83333">
  <xsd:schema xmlns:xsd="http://www.w3.org/2001/XMLSchema" xmlns:xs="http://www.w3.org/2001/XMLSchema" xmlns:p="http://schemas.microsoft.com/office/2006/metadata/properties" xmlns:ns2="e6b2bbb1-61ae-496c-8f4f-c8ac67b5a032" xmlns:ns3="a4422e6b-120e-47c2-b9b6-03c63bf48ebf" targetNamespace="http://schemas.microsoft.com/office/2006/metadata/properties" ma:root="true" ma:fieldsID="f6f5f6b1417e0dbb58d40000f4032aa9" ns2:_="" ns3:_="">
    <xsd:import namespace="e6b2bbb1-61ae-496c-8f4f-c8ac67b5a032"/>
    <xsd:import namespace="a4422e6b-120e-47c2-b9b6-03c63bf48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b2bbb1-61ae-496c-8f4f-c8ac67b5a0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6222303-5ace-465d-ae98-7430cbcc1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422e6b-120e-47c2-b9b6-03c63bf4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3b610e4-2bd2-4455-a56c-42275f13a58f}" ma:internalName="TaxCatchAll" ma:showField="CatchAllData" ma:web="a4422e6b-120e-47c2-b9b6-03c63bf4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422e6b-120e-47c2-b9b6-03c63bf48ebf" xsi:nil="true"/>
    <lcf76f155ced4ddcb4097134ff3c332f xmlns="e6b2bbb1-61ae-496c-8f4f-c8ac67b5a0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F94682-190D-4939-8BF0-3D5F9C8C8A46}"/>
</file>

<file path=customXml/itemProps2.xml><?xml version="1.0" encoding="utf-8"?>
<ds:datastoreItem xmlns:ds="http://schemas.openxmlformats.org/officeDocument/2006/customXml" ds:itemID="{0C968127-BAC6-4F21-B165-A219DDB38802}"/>
</file>

<file path=customXml/itemProps3.xml><?xml version="1.0" encoding="utf-8"?>
<ds:datastoreItem xmlns:ds="http://schemas.openxmlformats.org/officeDocument/2006/customXml" ds:itemID="{9FC5B287-4BA3-432D-9559-0F04EAAD69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Params</vt:lpstr>
      <vt:lpstr>Inputs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Pillon</dc:creator>
  <cp:lastModifiedBy>Erik Pillon</cp:lastModifiedBy>
  <dcterms:created xsi:type="dcterms:W3CDTF">2015-06-05T18:17:20Z</dcterms:created>
  <dcterms:modified xsi:type="dcterms:W3CDTF">2026-08-21T08:45:11Z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9c41b-0d73-428c-9d47-797e407a0e54_Enabled">
    <vt:lpwstr>true</vt:lpwstr>
  </property>
  <property fmtid="{D5CDD505-2E9C-101B-9397-08002B2CF9AE}" pid="3" name="MSIP_Label_5f89c41b-0d73-428c-9d47-797e407a0e54_SetDate">
    <vt:lpwstr>2026-08-21T07:37:50Z</vt:lpwstr>
  </property>
  <property fmtid="{D5CDD505-2E9C-101B-9397-08002B2CF9AE}" pid="4" name="MSIP_Label_5f89c41b-0d73-428c-9d47-797e407a0e54_Method">
    <vt:lpwstr>Standard</vt:lpwstr>
  </property>
  <property fmtid="{D5CDD505-2E9C-101B-9397-08002B2CF9AE}" pid="5" name="MSIP_Label_5f89c41b-0d73-428c-9d47-797e407a0e54_Name">
    <vt:lpwstr>General Files</vt:lpwstr>
  </property>
  <property fmtid="{D5CDD505-2E9C-101B-9397-08002B2CF9AE}" pid="6" name="MSIP_Label_5f89c41b-0d73-428c-9d47-797e407a0e54_SiteId">
    <vt:lpwstr>748419eb-b130-41c4-8448-db4bc848692c</vt:lpwstr>
  </property>
  <property fmtid="{D5CDD505-2E9C-101B-9397-08002B2CF9AE}" pid="7" name="MSIP_Label_5f89c41b-0d73-428c-9d47-797e407a0e54_ActionId">
    <vt:lpwstr>5fb2bbe2-b64c-4ed5-aaaf-ad1dab110f6c</vt:lpwstr>
  </property>
  <property fmtid="{D5CDD505-2E9C-101B-9397-08002B2CF9AE}" pid="8" name="MSIP_Label_5f89c41b-0d73-428c-9d47-797e407a0e54_ContentBits">
    <vt:lpwstr>0</vt:lpwstr>
  </property>
  <property fmtid="{D5CDD505-2E9C-101B-9397-08002B2CF9AE}" pid="9" name="MSIP_Label_5f89c41b-0d73-428c-9d47-797e407a0e54_Tag">
    <vt:lpwstr>10, 3, 0, 1</vt:lpwstr>
  </property>
  <property fmtid="{D5CDD505-2E9C-101B-9397-08002B2CF9AE}" pid="10" name="ContentTypeId">
    <vt:lpwstr>0x01010075D08594A7E6C24B8E75BE3AAEEF8245</vt:lpwstr>
  </property>
</Properties>
</file>